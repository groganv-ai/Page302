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3970e7acc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Planner" sheetId="1" r:id="R2fb6e37ccad04def"/>
    <x:sheet xmlns:r="http://schemas.openxmlformats.org/officeDocument/2006/relationships" name="Club 01" sheetId="2" r:id="R18d4f9b644cd498f"/>
    <x:sheet xmlns:r="http://schemas.openxmlformats.org/officeDocument/2006/relationships" name="Club 02" sheetId="3" r:id="R611dffeb0ce24c5b"/>
    <x:sheet xmlns:r="http://schemas.openxmlformats.org/officeDocument/2006/relationships" name="Club 03" sheetId="4" r:id="R1a2806263aae4ce2"/>
    <x:sheet xmlns:r="http://schemas.openxmlformats.org/officeDocument/2006/relationships" name="Club 04" sheetId="5" r:id="R7b701f4d898d4229"/>
    <x:sheet xmlns:r="http://schemas.openxmlformats.org/officeDocument/2006/relationships" name="Club 05" sheetId="6" r:id="Ra35fb04ffd704a5d"/>
    <x:sheet xmlns:r="http://schemas.openxmlformats.org/officeDocument/2006/relationships" name="Club 06" sheetId="7" r:id="Rb4f5c26d6c3246c5"/>
    <x:sheet xmlns:r="http://schemas.openxmlformats.org/officeDocument/2006/relationships" name="Club 07" sheetId="8" r:id="Rbc1dad4bc91649ad"/>
    <x:sheet xmlns:r="http://schemas.openxmlformats.org/officeDocument/2006/relationships" name="Club 08" sheetId="9" r:id="R557c34b5abdf46a7"/>
    <x:sheet xmlns:r="http://schemas.openxmlformats.org/officeDocument/2006/relationships" name="Club 09" sheetId="10" r:id="R6dc7ece3fe2b41f8"/>
    <x:sheet xmlns:r="http://schemas.openxmlformats.org/officeDocument/2006/relationships" name="Club 10" sheetId="11" r:id="Rd00eb1d20be44640"/>
    <x:sheet xmlns:r="http://schemas.openxmlformats.org/officeDocument/2006/relationships" name="Club 11" sheetId="12" r:id="R5228b351f448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3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63ef6b1cd414e" /><Relationship Type="http://schemas.openxmlformats.org/officeDocument/2006/relationships/theme" Target="/xl/theme/theme1.xml" Id="R51060487278b4b41" /><Relationship Type="http://schemas.openxmlformats.org/officeDocument/2006/relationships/sharedStrings" Target="/xl/sharedStrings.xml" Id="R8f358f63ce4742f8" /><Relationship Type="http://schemas.openxmlformats.org/officeDocument/2006/relationships/worksheet" Target="/xl/worksheets/sheet1.xml" Id="R2fb6e37ccad04def" /><Relationship Type="http://schemas.openxmlformats.org/officeDocument/2006/relationships/worksheet" Target="/xl/worksheets/sheet2.xml" Id="R18d4f9b644cd498f" /><Relationship Type="http://schemas.openxmlformats.org/officeDocument/2006/relationships/worksheet" Target="/xl/worksheets/sheet3.xml" Id="R611dffeb0ce24c5b" /><Relationship Type="http://schemas.openxmlformats.org/officeDocument/2006/relationships/worksheet" Target="/xl/worksheets/sheet4.xml" Id="R1a2806263aae4ce2" /><Relationship Type="http://schemas.openxmlformats.org/officeDocument/2006/relationships/worksheet" Target="/xl/worksheets/sheet5.xml" Id="R7b701f4d898d4229" /><Relationship Type="http://schemas.openxmlformats.org/officeDocument/2006/relationships/worksheet" Target="/xl/worksheets/sheet6.xml" Id="Ra35fb04ffd704a5d" /><Relationship Type="http://schemas.openxmlformats.org/officeDocument/2006/relationships/worksheet" Target="/xl/worksheets/sheet7.xml" Id="Rb4f5c26d6c3246c5" /><Relationship Type="http://schemas.openxmlformats.org/officeDocument/2006/relationships/worksheet" Target="/xl/worksheets/sheet8.xml" Id="Rbc1dad4bc91649ad" /><Relationship Type="http://schemas.openxmlformats.org/officeDocument/2006/relationships/worksheet" Target="/xl/worksheets/sheet9.xml" Id="R557c34b5abdf46a7" /><Relationship Type="http://schemas.openxmlformats.org/officeDocument/2006/relationships/worksheet" Target="/xl/worksheets/sheet10.xml" Id="R6dc7ece3fe2b41f8" /><Relationship Type="http://schemas.openxmlformats.org/officeDocument/2006/relationships/worksheet" Target="/xl/worksheets/sheet11.xml" Id="Rd00eb1d20be44640" /><Relationship Type="http://schemas.openxmlformats.org/officeDocument/2006/relationships/worksheet" Target="/xl/worksheets/sheet12.xml" Id="R5228b351f448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13" hidden="0" customWidth="1"/>
    <x:col min="5" max="5" width="20" hidden="0" customWidth="1"/>
    <x:col min="6" max="6" width="24" hidden="0" customWidth="1"/>
    <x:col min="7" max="7" width="42" hidden="0" customWidth="1"/>
    <x:col min="8" max="8" width="24" hidden="0" customWidth="1"/>
    <x:col min="9" max="9" width="18" hidden="0" customWidth="1"/>
  </x:cols>
  <x:sheetData>
    <x:row r="1" ht="28" customHeight="1">
      <x:c r="A1" s="4" t="str">
        <x:v>PAGE302 — GAME PACK 003 PLANNER</x:v>
      </x:c>
      <x:c r="B1" s="4" t="str">
        <x:v>PAGE302 — GAME PACK 003 PLANNER</x:v>
      </x:c>
      <x:c r="C1" s="4" t="str">
        <x:v>PAGE302 — GAME PACK 003 PLANNER</x:v>
      </x:c>
      <x:c r="D1" s="4" t="str">
        <x:v>PAGE302 — GAME PACK 003 PLANNER</x:v>
      </x:c>
      <x:c r="E1" s="4" t="str">
        <x:v>PAGE302 — GAME PACK 003 PLANNER</x:v>
      </x:c>
      <x:c r="F1" s="4" t="str">
        <x:v>PAGE302 — GAME PACK 003 PLANNER</x:v>
      </x:c>
      <x:c r="G1" s="4" t="str">
        <x:v>PAGE302 — GAME PACK 003 PLANNER</x:v>
      </x:c>
      <x:c r="H1" s="4" t="str">
        <x:v>PAGE302 — GAME PACK 003 PLANNER</x:v>
      </x:c>
      <x:c r="I1" s="4" t="str">
        <x:v>PAGE302 — GAME PACK 003 PLANNER</x:v>
      </x:c>
    </x:row>
    <x:row r="3" ht="34" customHeight="1">
      <x:c r="A3" s="6" t="str">
        <x:v>Choose one club-season per row. Yellow cells are yours to complete. The workbook checks the required 4 / 5 / 2 mix and encourages a spread across the full Premier League era.</x:v>
      </x:c>
    </x:row>
    <x:row r="5">
      <x:c r="A5" s="9" t="str">
        <x:v>PACK STATUS</x:v>
      </x:c>
      <x:c r="B5" s="9" t="str">
        <x:v>PACK STATUS</x:v>
      </x:c>
      <x:c r="C5" s="9" t="str">
        <x:v>PACK STATUS</x:v>
      </x:c>
      <x:c r="E5" s="9" t="str">
        <x:v>COMPOSITION CHECKS</x:v>
      </x:c>
      <x:c r="F5" s="9" t="str">
        <x:v>COMPOSITION CHECKS</x:v>
      </x:c>
      <x:c r="G5" s="9" t="str">
        <x:v>COMPOSITION CHECKS</x:v>
      </x:c>
      <x:c r="H5" s="9" t="str">
        <x:v>COMPOSITION CHECKS</x:v>
      </x:c>
      <x:c r="I5" s="9" t="str">
        <x:v>COMPOSITION CHECKS</x:v>
      </x:c>
    </x:row>
    <x:row r="6">
      <x:c r="A6" s="12" t="str">
        <x:v>Pack number</x:v>
      </x:c>
      <x:c r="B6" s="14" t="str">
        <x:v>003</x:v>
      </x:c>
      <x:c r="C6" s="10"/>
      <x:c r="E6" s="18" t="str">
        <x:v>Category</x:v>
      </x:c>
      <x:c r="F6" s="18" t="str">
        <x:v>Required</x:v>
      </x:c>
      <x:c r="G6" s="18" t="str">
        <x:v>Selected</x:v>
      </x:c>
      <x:c r="H6" s="18" t="str">
        <x:v>Result</x:v>
      </x:c>
      <x:c r="I6" s="18" t="str">
        <x:v>Rule</x:v>
      </x:c>
    </x:row>
    <x:row r="7" ht="28" customHeight="1">
      <x:c r="A7" s="12" t="str">
        <x:v>Clubs selected</x:v>
      </x:c>
      <x:c r="B7" s="14" t="n">
        <x:f>COUNTIF(C11:C21,"&lt;&gt;")</x:f>
        <x:v>0</x:v>
      </x:c>
      <x:c r="C7" s="10" t="str">
        <x:v>Target: 11</x:v>
      </x:c>
      <x:c r="E7" s="20" t="str">
        <x:v>Sky 6</x:v>
      </x:c>
      <x:c r="F7" s="19" t="n">
        <x:v>4</x:v>
      </x:c>
      <x:c r="G7" s="19" t="n">
        <x:f>COUNTIFS(B11:B21,E7,C11:C21,"&lt;&gt;")</x:f>
        <x:v>0</x:v>
      </x:c>
      <x:c r="H7" s="19" t="str">
        <x:f>IF(G7=F7,"OK","CHECK")</x:f>
        <x:v>CHECK</x:v>
      </x:c>
      <x:c r="I7" s="10" t="str">
        <x:v>Exactly 4</x:v>
      </x:c>
    </x:row>
    <x:row r="8" ht="28" customHeight="1">
      <x:c r="A8" s="12" t="str">
        <x:v>Pack readiness</x:v>
      </x:c>
      <x:c r="B8" s="14" t="str">
        <x:f>IF(B7=11,"READY TO COLLECT DATA","IN PROGRESS")</x:f>
        <x:v>IN PROGRESS</x:v>
      </x:c>
      <x:c r="C8" s="10" t="str">
        <x:v>Complete all 11 rows before collecting player data.</x:v>
      </x:c>
      <x:c r="E8" s="20" t="str">
        <x:v>Other current Premier League club</x:v>
      </x:c>
      <x:c r="F8" s="19" t="n">
        <x:v>5</x:v>
      </x:c>
      <x:c r="G8" s="19" t="n">
        <x:f>COUNTIFS(B11:B21,E8,C11:C21,"&lt;&gt;")</x:f>
        <x:v>0</x:v>
      </x:c>
      <x:c r="H8" s="19" t="str">
        <x:f>IF(G8=F8,"OK","CHECK")</x:f>
        <x:v>CHECK</x:v>
      </x:c>
      <x:c r="I8" s="10" t="str">
        <x:v>Exactly 5</x:v>
      </x:c>
    </x:row>
    <x:row r="9" ht="28" customHeight="1">
      <x:c r="E9" s="20" t="str">
        <x:v>Not currently in the Premier League</x:v>
      </x:c>
      <x:c r="F9" s="19" t="n">
        <x:v>2</x:v>
      </x:c>
      <x:c r="G9" s="19" t="n">
        <x:f>COUNTIFS(B11:B21,E9,C11:C21,"&lt;&gt;")</x:f>
        <x:v>0</x:v>
      </x:c>
      <x:c r="H9" s="19" t="str">
        <x:f>IF(G9=F9,"OK","CHECK")</x:f>
        <x:v>CHECK</x:v>
      </x:c>
      <x:c r="I9" s="10" t="str">
        <x:v>Exactly 2</x:v>
      </x:c>
    </x:row>
    <x:row r="10">
      <x:c r="A10" s="18" t="str">
        <x:v>Slot</x:v>
      </x:c>
      <x:c r="B10" s="18" t="str">
        <x:v>Required category</x:v>
      </x:c>
      <x:c r="C10" s="18" t="str">
        <x:v>Club</x:v>
      </x:c>
      <x:c r="D10" s="18" t="str">
        <x:v>Season</x:v>
      </x:c>
      <x:c r="E10" s="18" t="str">
        <x:v>Team code</x:v>
      </x:c>
      <x:c r="F10" s="18" t="str">
        <x:v>Era</x:v>
      </x:c>
      <x:c r="G10" s="18" t="str">
        <x:v>FBref URL (filled on club tab)</x:v>
      </x:c>
      <x:c r="H10" s="18" t="str">
        <x:v>Manager (filled on club tab)</x:v>
      </x:c>
      <x:c r="I10" s="18" t="str">
        <x:v>Row status</x:v>
      </x:c>
    </x:row>
    <x:row r="11" ht="28" customHeight="1">
      <x:c r="A11" s="11" t="n">
        <x:v>1</x:v>
      </x:c>
      <x:c r="B11" s="21" t="str">
        <x:v>Sky 6</x:v>
      </x:c>
      <x:c r="C11" s="22"/>
      <x:c r="D11" s="22"/>
      <x:c r="E11" s="22"/>
      <x:c r="F11" s="22"/>
      <x:c r="G11" s="23" t="str">
        <x:f>IF('Club 01'!$B$7="","",'Club 01'!$B$7)</x:f>
      </x:c>
      <x:c r="H11" s="23" t="str">
        <x:f>IF('Club 01'!$B$8="","",'Club 01'!$B$8)&amp;IF('Club 01'!$C$8="","",", "&amp;'Club 01'!$C$8)&amp;IF('Club 01'!$D$8="","",", "&amp;'Club 01'!$D$8)&amp;IF('Club 01'!$E$8="","",", "&amp;'Club 01'!$E$8)&amp;IF('Club 01'!$F$8="","",", "&amp;'Club 01'!$F$8)&amp;IF('Club 01'!$G$8="","",", "&amp;'Club 01'!$G$8)</x:f>
      </x:c>
      <x:c r="I11" s="14" t="str">
        <x:f>IF(AND(C11&lt;&gt;"",D11&lt;&gt;"",E11&lt;&gt;"",F11&lt;&gt;"",G11&lt;&gt;"",H11&lt;&gt;""),"READY","NEEDS DETAILS")</x:f>
        <x:v>NEEDS DETAILS</x:v>
      </x:c>
    </x:row>
    <x:row r="12" ht="28" customHeight="1">
      <x:c r="A12" s="11" t="n">
        <x:v>2</x:v>
      </x:c>
      <x:c r="B12" s="21" t="str">
        <x:v>Sky 6</x:v>
      </x:c>
      <x:c r="C12" s="22"/>
      <x:c r="D12" s="22"/>
      <x:c r="E12" s="22"/>
      <x:c r="F12" s="22"/>
      <x:c r="G12" s="23" t="str">
        <x:f>IF('Club 02'!$B$7="","",'Club 02'!$B$7)</x:f>
      </x:c>
      <x:c r="H12" s="23" t="str">
        <x:f>IF('Club 02'!$B$8="","",'Club 02'!$B$8)&amp;IF('Club 02'!$C$8="","",", "&amp;'Club 02'!$C$8)&amp;IF('Club 02'!$D$8="","",", "&amp;'Club 02'!$D$8)&amp;IF('Club 02'!$E$8="","",", "&amp;'Club 02'!$E$8)&amp;IF('Club 02'!$F$8="","",", "&amp;'Club 02'!$F$8)&amp;IF('Club 02'!$G$8="","",", "&amp;'Club 02'!$G$8)</x:f>
      </x:c>
      <x:c r="I12" s="14" t="str">
        <x:f>IF(AND(C12&lt;&gt;"",D12&lt;&gt;"",E12&lt;&gt;"",F12&lt;&gt;"",G12&lt;&gt;"",H12&lt;&gt;""),"READY","NEEDS DETAILS")</x:f>
        <x:v>NEEDS DETAILS</x:v>
      </x:c>
    </x:row>
    <x:row r="13" ht="28" customHeight="1">
      <x:c r="A13" s="11" t="n">
        <x:v>3</x:v>
      </x:c>
      <x:c r="B13" s="21" t="str">
        <x:v>Sky 6</x:v>
      </x:c>
      <x:c r="C13" s="22"/>
      <x:c r="D13" s="22"/>
      <x:c r="E13" s="22"/>
      <x:c r="F13" s="22"/>
      <x:c r="G13" s="23" t="str">
        <x:f>IF('Club 03'!$B$7="","",'Club 03'!$B$7)</x:f>
      </x:c>
      <x:c r="H13" s="23" t="str">
        <x:f>IF('Club 03'!$B$8="","",'Club 03'!$B$8)&amp;IF('Club 03'!$C$8="","",", "&amp;'Club 03'!$C$8)&amp;IF('Club 03'!$D$8="","",", "&amp;'Club 03'!$D$8)&amp;IF('Club 03'!$E$8="","",", "&amp;'Club 03'!$E$8)&amp;IF('Club 03'!$F$8="","",", "&amp;'Club 03'!$F$8)&amp;IF('Club 03'!$G$8="","",", "&amp;'Club 03'!$G$8)</x:f>
      </x:c>
      <x:c r="I13" s="14" t="str">
        <x:f>IF(AND(C13&lt;&gt;"",D13&lt;&gt;"",E13&lt;&gt;"",F13&lt;&gt;"",G13&lt;&gt;"",H13&lt;&gt;""),"READY","NEEDS DETAILS")</x:f>
        <x:v>NEEDS DETAILS</x:v>
      </x:c>
    </x:row>
    <x:row r="14" ht="28" customHeight="1">
      <x:c r="A14" s="11" t="n">
        <x:v>4</x:v>
      </x:c>
      <x:c r="B14" s="21" t="str">
        <x:v>Sky 6</x:v>
      </x:c>
      <x:c r="C14" s="22"/>
      <x:c r="D14" s="22"/>
      <x:c r="E14" s="22"/>
      <x:c r="F14" s="22"/>
      <x:c r="G14" s="23" t="str">
        <x:f>IF('Club 04'!$B$7="","",'Club 04'!$B$7)</x:f>
      </x:c>
      <x:c r="H14" s="23" t="str">
        <x:f>IF('Club 04'!$B$8="","",'Club 04'!$B$8)&amp;IF('Club 04'!$C$8="","",", "&amp;'Club 04'!$C$8)&amp;IF('Club 04'!$D$8="","",", "&amp;'Club 04'!$D$8)&amp;IF('Club 04'!$E$8="","",", "&amp;'Club 04'!$E$8)&amp;IF('Club 04'!$F$8="","",", "&amp;'Club 04'!$F$8)&amp;IF('Club 04'!$G$8="","",", "&amp;'Club 04'!$G$8)</x:f>
      </x:c>
      <x:c r="I14" s="14" t="str">
        <x:f>IF(AND(C14&lt;&gt;"",D14&lt;&gt;"",E14&lt;&gt;"",F14&lt;&gt;"",G14&lt;&gt;"",H14&lt;&gt;""),"READY","NEEDS DETAILS")</x:f>
        <x:v>NEEDS DETAILS</x:v>
      </x:c>
    </x:row>
    <x:row r="15" ht="28" customHeight="1">
      <x:c r="A15" s="11" t="n">
        <x:v>5</x:v>
      </x:c>
      <x:c r="B15" s="21" t="str">
        <x:v>Other current Premier League club</x:v>
      </x:c>
      <x:c r="C15" s="22"/>
      <x:c r="D15" s="22"/>
      <x:c r="E15" s="22"/>
      <x:c r="F15" s="22"/>
      <x:c r="G15" s="23" t="str">
        <x:f>IF('Club 05'!$B$7="","",'Club 05'!$B$7)</x:f>
      </x:c>
      <x:c r="H15" s="23" t="str">
        <x:f>IF('Club 05'!$B$8="","",'Club 05'!$B$8)&amp;IF('Club 05'!$C$8="","",", "&amp;'Club 05'!$C$8)&amp;IF('Club 05'!$D$8="","",", "&amp;'Club 05'!$D$8)&amp;IF('Club 05'!$E$8="","",", "&amp;'Club 05'!$E$8)&amp;IF('Club 05'!$F$8="","",", "&amp;'Club 05'!$F$8)&amp;IF('Club 05'!$G$8="","",", "&amp;'Club 05'!$G$8)</x:f>
      </x:c>
      <x:c r="I15" s="14" t="str">
        <x:f>IF(AND(C15&lt;&gt;"",D15&lt;&gt;"",E15&lt;&gt;"",F15&lt;&gt;"",G15&lt;&gt;"",H15&lt;&gt;""),"READY","NEEDS DETAILS")</x:f>
        <x:v>NEEDS DETAILS</x:v>
      </x:c>
    </x:row>
    <x:row r="16" ht="28" customHeight="1">
      <x:c r="A16" s="11" t="n">
        <x:v>6</x:v>
      </x:c>
      <x:c r="B16" s="21" t="str">
        <x:v>Other current Premier League club</x:v>
      </x:c>
      <x:c r="C16" s="22"/>
      <x:c r="D16" s="22"/>
      <x:c r="E16" s="22"/>
      <x:c r="F16" s="22"/>
      <x:c r="G16" s="23" t="str">
        <x:f>IF('Club 06'!$B$7="","",'Club 06'!$B$7)</x:f>
      </x:c>
      <x:c r="H16" s="23" t="str">
        <x:f>IF('Club 06'!$B$8="","",'Club 06'!$B$8)&amp;IF('Club 06'!$C$8="","",", "&amp;'Club 06'!$C$8)&amp;IF('Club 06'!$D$8="","",", "&amp;'Club 06'!$D$8)&amp;IF('Club 06'!$E$8="","",", "&amp;'Club 06'!$E$8)&amp;IF('Club 06'!$F$8="","",", "&amp;'Club 06'!$F$8)&amp;IF('Club 06'!$G$8="","",", "&amp;'Club 06'!$G$8)</x:f>
      </x:c>
      <x:c r="I16" s="14" t="str">
        <x:f>IF(AND(C16&lt;&gt;"",D16&lt;&gt;"",E16&lt;&gt;"",F16&lt;&gt;"",G16&lt;&gt;"",H16&lt;&gt;""),"READY","NEEDS DETAILS")</x:f>
        <x:v>NEEDS DETAILS</x:v>
      </x:c>
    </x:row>
    <x:row r="17" ht="28" customHeight="1">
      <x:c r="A17" s="11" t="n">
        <x:v>7</x:v>
      </x:c>
      <x:c r="B17" s="21" t="str">
        <x:v>Other current Premier League club</x:v>
      </x:c>
      <x:c r="C17" s="22"/>
      <x:c r="D17" s="22"/>
      <x:c r="E17" s="22"/>
      <x:c r="F17" s="22"/>
      <x:c r="G17" s="23" t="str">
        <x:f>IF('Club 07'!$B$7="","",'Club 07'!$B$7)</x:f>
      </x:c>
      <x:c r="H17" s="23" t="str">
        <x:f>IF('Club 07'!$B$8="","",'Club 07'!$B$8)&amp;IF('Club 07'!$C$8="","",", "&amp;'Club 07'!$C$8)&amp;IF('Club 07'!$D$8="","",", "&amp;'Club 07'!$D$8)&amp;IF('Club 07'!$E$8="","",", "&amp;'Club 07'!$E$8)&amp;IF('Club 07'!$F$8="","",", "&amp;'Club 07'!$F$8)&amp;IF('Club 07'!$G$8="","",", "&amp;'Club 07'!$G$8)</x:f>
      </x:c>
      <x:c r="I17" s="14" t="str">
        <x:f>IF(AND(C17&lt;&gt;"",D17&lt;&gt;"",E17&lt;&gt;"",F17&lt;&gt;"",G17&lt;&gt;"",H17&lt;&gt;""),"READY","NEEDS DETAILS")</x:f>
        <x:v>NEEDS DETAILS</x:v>
      </x:c>
    </x:row>
    <x:row r="18" ht="28" customHeight="1">
      <x:c r="A18" s="11" t="n">
        <x:v>8</x:v>
      </x:c>
      <x:c r="B18" s="21" t="str">
        <x:v>Other current Premier League club</x:v>
      </x:c>
      <x:c r="C18" s="22"/>
      <x:c r="D18" s="22"/>
      <x:c r="E18" s="22"/>
      <x:c r="F18" s="22"/>
      <x:c r="G18" s="23" t="str">
        <x:f>IF('Club 08'!$B$7="","",'Club 08'!$B$7)</x:f>
      </x:c>
      <x:c r="H18" s="23" t="str">
        <x:f>IF('Club 08'!$B$8="","",'Club 08'!$B$8)&amp;IF('Club 08'!$C$8="","",", "&amp;'Club 08'!$C$8)&amp;IF('Club 08'!$D$8="","",", "&amp;'Club 08'!$D$8)&amp;IF('Club 08'!$E$8="","",", "&amp;'Club 08'!$E$8)&amp;IF('Club 08'!$F$8="","",", "&amp;'Club 08'!$F$8)&amp;IF('Club 08'!$G$8="","",", "&amp;'Club 08'!$G$8)</x:f>
      </x:c>
      <x:c r="I18" s="14" t="str">
        <x:f>IF(AND(C18&lt;&gt;"",D18&lt;&gt;"",E18&lt;&gt;"",F18&lt;&gt;"",G18&lt;&gt;"",H18&lt;&gt;""),"READY","NEEDS DETAILS")</x:f>
        <x:v>NEEDS DETAILS</x:v>
      </x:c>
    </x:row>
    <x:row r="19" ht="28" customHeight="1">
      <x:c r="A19" s="11" t="n">
        <x:v>9</x:v>
      </x:c>
      <x:c r="B19" s="21" t="str">
        <x:v>Other current Premier League club</x:v>
      </x:c>
      <x:c r="C19" s="22"/>
      <x:c r="D19" s="22"/>
      <x:c r="E19" s="22"/>
      <x:c r="F19" s="22"/>
      <x:c r="G19" s="23" t="str">
        <x:f>IF('Club 09'!$B$7="","",'Club 09'!$B$7)</x:f>
      </x:c>
      <x:c r="H19" s="23" t="str">
        <x:f>IF('Club 09'!$B$8="","",'Club 09'!$B$8)&amp;IF('Club 09'!$C$8="","",", "&amp;'Club 09'!$C$8)&amp;IF('Club 09'!$D$8="","",", "&amp;'Club 09'!$D$8)&amp;IF('Club 09'!$E$8="","",", "&amp;'Club 09'!$E$8)&amp;IF('Club 09'!$F$8="","",", "&amp;'Club 09'!$F$8)&amp;IF('Club 09'!$G$8="","",", "&amp;'Club 09'!$G$8)</x:f>
      </x:c>
      <x:c r="I19" s="14" t="str">
        <x:f>IF(AND(C19&lt;&gt;"",D19&lt;&gt;"",E19&lt;&gt;"",F19&lt;&gt;"",G19&lt;&gt;"",H19&lt;&gt;""),"READY","NEEDS DETAILS")</x:f>
        <x:v>NEEDS DETAILS</x:v>
      </x:c>
    </x:row>
    <x:row r="20" ht="28" customHeight="1">
      <x:c r="A20" s="11" t="n">
        <x:v>10</x:v>
      </x:c>
      <x:c r="B20" s="21" t="str">
        <x:v>Not currently in the Premier League</x:v>
      </x:c>
      <x:c r="C20" s="22"/>
      <x:c r="D20" s="22"/>
      <x:c r="E20" s="22"/>
      <x:c r="F20" s="22"/>
      <x:c r="G20" s="23" t="str">
        <x:f>IF('Club 10'!$B$7="","",'Club 10'!$B$7)</x:f>
      </x:c>
      <x:c r="H20" s="23" t="str">
        <x:f>IF('Club 10'!$B$8="","",'Club 10'!$B$8)&amp;IF('Club 10'!$C$8="","",", "&amp;'Club 10'!$C$8)&amp;IF('Club 10'!$D$8="","",", "&amp;'Club 10'!$D$8)&amp;IF('Club 10'!$E$8="","",", "&amp;'Club 10'!$E$8)&amp;IF('Club 10'!$F$8="","",", "&amp;'Club 10'!$F$8)&amp;IF('Club 10'!$G$8="","",", "&amp;'Club 10'!$G$8)</x:f>
      </x:c>
      <x:c r="I20" s="14" t="str">
        <x:f>IF(AND(C20&lt;&gt;"",D20&lt;&gt;"",E20&lt;&gt;"",F20&lt;&gt;"",G20&lt;&gt;"",H20&lt;&gt;""),"READY","NEEDS DETAILS")</x:f>
        <x:v>NEEDS DETAILS</x:v>
      </x:c>
    </x:row>
    <x:row r="21" ht="28" customHeight="1">
      <x:c r="A21" s="11" t="n">
        <x:v>11</x:v>
      </x:c>
      <x:c r="B21" s="21" t="str">
        <x:v>Not currently in the Premier League</x:v>
      </x:c>
      <x:c r="C21" s="22"/>
      <x:c r="D21" s="22"/>
      <x:c r="E21" s="22"/>
      <x:c r="F21" s="22"/>
      <x:c r="G21" s="23" t="str">
        <x:f>IF('Club 11'!$B$7="","",'Club 11'!$B$7)</x:f>
      </x:c>
      <x:c r="H21" s="23" t="str">
        <x:f>IF('Club 11'!$B$8="","",'Club 11'!$B$8)&amp;IF('Club 11'!$C$8="","",", "&amp;'Club 11'!$C$8)&amp;IF('Club 11'!$D$8="","",", "&amp;'Club 11'!$D$8)&amp;IF('Club 11'!$E$8="","",", "&amp;'Club 11'!$E$8)&amp;IF('Club 11'!$F$8="","",", "&amp;'Club 11'!$F$8)&amp;IF('Club 11'!$G$8="","",", "&amp;'Club 11'!$G$8)</x:f>
      </x:c>
      <x:c r="I21" s="14" t="str">
        <x:f>IF(AND(C21&lt;&gt;"",D21&lt;&gt;"",E21&lt;&gt;"",F21&lt;&gt;"",G21&lt;&gt;"",H21&lt;&gt;""),"READY","NEEDS DETAILS")</x:f>
        <x:v>NEEDS DETAILS</x:v>
      </x:c>
    </x:row>
    <x:row r="23" ht="32" customHeight="1">
      <x:c r="A23" s="26" t="str">
        <x:v>IMPORTANT: Set the category at pack-design time. Do not change historic pack categories just because a club is promoted or relegated later.</x:v>
      </x:c>
      <x:c r="E23" s="9" t="str">
        <x:v>ERA COVERAGE</x:v>
      </x:c>
      <x:c r="F23" s="9" t="str">
        <x:v>ERA COVERAGE</x:v>
      </x:c>
    </x:row>
    <x:row r="24">
      <x:c r="E24" s="18" t="str">
        <x:v>Era</x:v>
      </x:c>
      <x:c r="F24" s="18" t="str">
        <x:v>Selected</x:v>
      </x:c>
    </x:row>
    <x:row r="25">
      <x:c r="E25" s="10" t="str">
        <x:v>1990s (1992-99)</x:v>
      </x:c>
      <x:c r="F25" s="10" t="n">
        <x:f>COUNTIF($F$11:$F$21,E25)</x:f>
        <x:v>0</x:v>
      </x:c>
    </x:row>
    <x:row r="26">
      <x:c r="E26" s="10" t="str">
        <x:v>Early 2000s (2000-04)</x:v>
      </x:c>
      <x:c r="F26" s="10" t="n">
        <x:f>COUNTIF($F$11:$F$21,E26)</x:f>
        <x:v>0</x:v>
      </x:c>
    </x:row>
    <x:row r="27">
      <x:c r="E27" s="10" t="str">
        <x:v>Late 2000s (2005-09)</x:v>
      </x:c>
      <x:c r="F27" s="10" t="n">
        <x:f>COUNTIF($F$11:$F$21,E27)</x:f>
        <x:v>0</x:v>
      </x:c>
    </x:row>
    <x:row r="28">
      <x:c r="E28" s="10" t="str">
        <x:v>Early 2010s (2010-14)</x:v>
      </x:c>
      <x:c r="F28" s="10" t="n">
        <x:f>COUNTIF($F$11:$F$21,E28)</x:f>
        <x:v>0</x:v>
      </x:c>
    </x:row>
    <x:row r="29">
      <x:c r="E29" s="10" t="str">
        <x:v>Late 2010s (2015-19)</x:v>
      </x:c>
      <x:c r="F29" s="10" t="n">
        <x:f>COUNTIF($F$11:$F$21,E29)</x:f>
        <x:v>0</x:v>
      </x:c>
    </x:row>
    <x:row r="30">
      <x:c r="E30" s="10" t="str">
        <x:v>Modern era (2020+)</x:v>
      </x:c>
      <x:c r="F30" s="10" t="n">
        <x:f>COUNTIF($F$11:$F$21,E30)</x:f>
        <x:v>0</x:v>
      </x:c>
    </x:row>
  </x:sheetData>
  <x:mergeCells>
    <x:mergeCell ref="A1:I1"/>
    <x:mergeCell ref="A3:I3"/>
    <x:mergeCell ref="A5:C5"/>
    <x:mergeCell ref="E5:I5"/>
    <x:mergeCell ref="E23:F23"/>
    <x:mergeCell ref="A23:C23"/>
  </x:mergeCells>
  <x:dataValidations count="1">
    <x:dataValidation type="list" sqref="F11:F21">
      <x:formula1>"1990s (1992-99),Early 2000s (2000-04),Late 2000s (2005-09),Early 2010s (2010-14),Late 2010s (2015-19),Modern era (2020+)"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01</x:v>
      </x:c>
      <x:c r="B1" s="4" t="str">
        <x:v>PAGE302 — CLUB DATA COLLECTION — SLOT 01</x:v>
      </x:c>
      <x:c r="C1" s="4" t="str">
        <x:v>PAGE302 — CLUB DATA COLLECTION — SLOT 01</x:v>
      </x:c>
      <x:c r="D1" s="4" t="str">
        <x:v>PAGE302 — CLUB DATA COLLECTION — SLOT 01</x:v>
      </x:c>
      <x:c r="E1" s="4" t="str">
        <x:v>PAGE302 — CLUB DATA COLLECTION — SLOT 01</x:v>
      </x:c>
      <x:c r="F1" s="4" t="str">
        <x:v>PAGE302 — CLUB DATA COLLECTION — SLOT 01</x:v>
      </x:c>
      <x:c r="G1" s="4" t="str">
        <x:v>PAGE302 — CLUB DATA COLLECTION — SLOT 01</x:v>
      </x:c>
      <x:c r="H1" s="4" t="str">
        <x:v>PAGE302 — CLUB DATA COLLECTION — SLOT 01</x:v>
      </x:c>
      <x:c r="I1" s="4" t="str">
        <x:v>PAGE302 — CLUB DATA COLLECTION — SLOT 01</x:v>
      </x:c>
      <x:c r="J1" s="4" t="str">
        <x:v>PAGE302 — CLUB DATA COLLECTION — SLOT 01</x:v>
      </x:c>
      <x:c r="K1" s="4" t="str">
        <x:v>PAGE302 — CLUB DATA COLLECTION — SLOT 01</x:v>
      </x:c>
      <x:c r="L1" s="4" t="str">
        <x:v>PAGE302 — CLUB DATA COLLECTION — SLOT 01</x:v>
      </x:c>
    </x:row>
    <x:row r="3">
      <x:c r="A3" s="12" t="str">
        <x:v>TEAM CODE:</x:v>
      </x:c>
      <x:c r="B3" s="23" t="str">
        <x:f>IF('Pack Planner'!$E$11="","",'Pack Planner'!$E$11)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Planner'!$C$11="","",'Pack Planner'!$C$11)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Planner'!$D$11="","",'Pack Planner'!$D$11)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Planner'!$B$11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02</x:v>
      </x:c>
      <x:c r="B1" s="4" t="str">
        <x:v>PAGE302 — CLUB DATA COLLECTION — SLOT 02</x:v>
      </x:c>
      <x:c r="C1" s="4" t="str">
        <x:v>PAGE302 — CLUB DATA COLLECTION — SLOT 02</x:v>
      </x:c>
      <x:c r="D1" s="4" t="str">
        <x:v>PAGE302 — CLUB DATA COLLECTION — SLOT 02</x:v>
      </x:c>
      <x:c r="E1" s="4" t="str">
        <x:v>PAGE302 — CLUB DATA COLLECTION — SLOT 02</x:v>
      </x:c>
      <x:c r="F1" s="4" t="str">
        <x:v>PAGE302 — CLUB DATA COLLECTION — SLOT 02</x:v>
      </x:c>
      <x:c r="G1" s="4" t="str">
        <x:v>PAGE302 — CLUB DATA COLLECTION — SLOT 02</x:v>
      </x:c>
      <x:c r="H1" s="4" t="str">
        <x:v>PAGE302 — CLUB DATA COLLECTION — SLOT 02</x:v>
      </x:c>
      <x:c r="I1" s="4" t="str">
        <x:v>PAGE302 — CLUB DATA COLLECTION — SLOT 02</x:v>
      </x:c>
      <x:c r="J1" s="4" t="str">
        <x:v>PAGE302 — CLUB DATA COLLECTION — SLOT 02</x:v>
      </x:c>
      <x:c r="K1" s="4" t="str">
        <x:v>PAGE302 — CLUB DATA COLLECTION — SLOT 02</x:v>
      </x:c>
      <x:c r="L1" s="4" t="str">
        <x:v>PAGE302 — CLUB DATA COLLECTION — SLOT 02</x:v>
      </x:c>
    </x:row>
    <x:row r="3">
      <x:c r="A3" s="12" t="str">
        <x:v>TEAM CODE:</x:v>
      </x:c>
      <x:c r="B3" s="23" t="str">
        <x:f>IF('Pack Planner'!$E$12="","",'Pack Planner'!$E$12)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Planner'!$C$12="","",'Pack Planner'!$C$12)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Planner'!$D$12="","",'Pack Planner'!$D$12)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Planner'!$B$12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03</x:v>
      </x:c>
      <x:c r="B1" s="4" t="str">
        <x:v>PAGE302 — CLUB DATA COLLECTION — SLOT 03</x:v>
      </x:c>
      <x:c r="C1" s="4" t="str">
        <x:v>PAGE302 — CLUB DATA COLLECTION — SLOT 03</x:v>
      </x:c>
      <x:c r="D1" s="4" t="str">
        <x:v>PAGE302 — CLUB DATA COLLECTION — SLOT 03</x:v>
      </x:c>
      <x:c r="E1" s="4" t="str">
        <x:v>PAGE302 — CLUB DATA COLLECTION — SLOT 03</x:v>
      </x:c>
      <x:c r="F1" s="4" t="str">
        <x:v>PAGE302 — CLUB DATA COLLECTION — SLOT 03</x:v>
      </x:c>
      <x:c r="G1" s="4" t="str">
        <x:v>PAGE302 — CLUB DATA COLLECTION — SLOT 03</x:v>
      </x:c>
      <x:c r="H1" s="4" t="str">
        <x:v>PAGE302 — CLUB DATA COLLECTION — SLOT 03</x:v>
      </x:c>
      <x:c r="I1" s="4" t="str">
        <x:v>PAGE302 — CLUB DATA COLLECTION — SLOT 03</x:v>
      </x:c>
      <x:c r="J1" s="4" t="str">
        <x:v>PAGE302 — CLUB DATA COLLECTION — SLOT 03</x:v>
      </x:c>
      <x:c r="K1" s="4" t="str">
        <x:v>PAGE302 — CLUB DATA COLLECTION — SLOT 03</x:v>
      </x:c>
      <x:c r="L1" s="4" t="str">
        <x:v>PAGE302 — CLUB DATA COLLECTION — SLOT 03</x:v>
      </x:c>
    </x:row>
    <x:row r="3">
      <x:c r="A3" s="12" t="str">
        <x:v>TEAM CODE:</x:v>
      </x:c>
      <x:c r="B3" s="23" t="str">
        <x:f>IF('Pack Planner'!$E$13="","",'Pack Planner'!$E$13)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Planner'!$C$13="","",'Pack Planner'!$C$13)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Planner'!$D$13="","",'Pack Planner'!$D$13)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Planner'!$B$13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04</x:v>
      </x:c>
      <x:c r="B1" s="4" t="str">
        <x:v>PAGE302 — CLUB DATA COLLECTION — SLOT 04</x:v>
      </x:c>
      <x:c r="C1" s="4" t="str">
        <x:v>PAGE302 — CLUB DATA COLLECTION — SLOT 04</x:v>
      </x:c>
      <x:c r="D1" s="4" t="str">
        <x:v>PAGE302 — CLUB DATA COLLECTION — SLOT 04</x:v>
      </x:c>
      <x:c r="E1" s="4" t="str">
        <x:v>PAGE302 — CLUB DATA COLLECTION — SLOT 04</x:v>
      </x:c>
      <x:c r="F1" s="4" t="str">
        <x:v>PAGE302 — CLUB DATA COLLECTION — SLOT 04</x:v>
      </x:c>
      <x:c r="G1" s="4" t="str">
        <x:v>PAGE302 — CLUB DATA COLLECTION — SLOT 04</x:v>
      </x:c>
      <x:c r="H1" s="4" t="str">
        <x:v>PAGE302 — CLUB DATA COLLECTION — SLOT 04</x:v>
      </x:c>
      <x:c r="I1" s="4" t="str">
        <x:v>PAGE302 — CLUB DATA COLLECTION — SLOT 04</x:v>
      </x:c>
      <x:c r="J1" s="4" t="str">
        <x:v>PAGE302 — CLUB DATA COLLECTION — SLOT 04</x:v>
      </x:c>
      <x:c r="K1" s="4" t="str">
        <x:v>PAGE302 — CLUB DATA COLLECTION — SLOT 04</x:v>
      </x:c>
      <x:c r="L1" s="4" t="str">
        <x:v>PAGE302 — CLUB DATA COLLECTION — SLOT 04</x:v>
      </x:c>
    </x:row>
    <x:row r="3">
      <x:c r="A3" s="12" t="str">
        <x:v>TEAM CODE:</x:v>
      </x:c>
      <x:c r="B3" s="23" t="str">
        <x:f>IF('Pack Planner'!$E$14="","",'Pack Planner'!$E$14)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Planner'!$C$14="","",'Pack Planner'!$C$14)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Planner'!$D$14="","",'Pack Planner'!$D$14)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Planner'!$B$14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05</x:v>
      </x:c>
      <x:c r="B1" s="4" t="str">
        <x:v>PAGE302 — CLUB DATA COLLECTION — SLOT 05</x:v>
      </x:c>
      <x:c r="C1" s="4" t="str">
        <x:v>PAGE302 — CLUB DATA COLLECTION — SLOT 05</x:v>
      </x:c>
      <x:c r="D1" s="4" t="str">
        <x:v>PAGE302 — CLUB DATA COLLECTION — SLOT 05</x:v>
      </x:c>
      <x:c r="E1" s="4" t="str">
        <x:v>PAGE302 — CLUB DATA COLLECTION — SLOT 05</x:v>
      </x:c>
      <x:c r="F1" s="4" t="str">
        <x:v>PAGE302 — CLUB DATA COLLECTION — SLOT 05</x:v>
      </x:c>
      <x:c r="G1" s="4" t="str">
        <x:v>PAGE302 — CLUB DATA COLLECTION — SLOT 05</x:v>
      </x:c>
      <x:c r="H1" s="4" t="str">
        <x:v>PAGE302 — CLUB DATA COLLECTION — SLOT 05</x:v>
      </x:c>
      <x:c r="I1" s="4" t="str">
        <x:v>PAGE302 — CLUB DATA COLLECTION — SLOT 05</x:v>
      </x:c>
      <x:c r="J1" s="4" t="str">
        <x:v>PAGE302 — CLUB DATA COLLECTION — SLOT 05</x:v>
      </x:c>
      <x:c r="K1" s="4" t="str">
        <x:v>PAGE302 — CLUB DATA COLLECTION — SLOT 05</x:v>
      </x:c>
      <x:c r="L1" s="4" t="str">
        <x:v>PAGE302 — CLUB DATA COLLECTION — SLOT 05</x:v>
      </x:c>
    </x:row>
    <x:row r="3">
      <x:c r="A3" s="12" t="str">
        <x:v>TEAM CODE:</x:v>
      </x:c>
      <x:c r="B3" s="23" t="str">
        <x:f>IF('Pack Planner'!$E$15="","",'Pack Planner'!$E$15)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Planner'!$C$15="","",'Pack Planner'!$C$15)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Planner'!$D$15="","",'Pack Planner'!$D$15)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Planner'!$B$15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06</x:v>
      </x:c>
      <x:c r="B1" s="4" t="str">
        <x:v>PAGE302 — CLUB DATA COLLECTION — SLOT 06</x:v>
      </x:c>
      <x:c r="C1" s="4" t="str">
        <x:v>PAGE302 — CLUB DATA COLLECTION — SLOT 06</x:v>
      </x:c>
      <x:c r="D1" s="4" t="str">
        <x:v>PAGE302 — CLUB DATA COLLECTION — SLOT 06</x:v>
      </x:c>
      <x:c r="E1" s="4" t="str">
        <x:v>PAGE302 — CLUB DATA COLLECTION — SLOT 06</x:v>
      </x:c>
      <x:c r="F1" s="4" t="str">
        <x:v>PAGE302 — CLUB DATA COLLECTION — SLOT 06</x:v>
      </x:c>
      <x:c r="G1" s="4" t="str">
        <x:v>PAGE302 — CLUB DATA COLLECTION — SLOT 06</x:v>
      </x:c>
      <x:c r="H1" s="4" t="str">
        <x:v>PAGE302 — CLUB DATA COLLECTION — SLOT 06</x:v>
      </x:c>
      <x:c r="I1" s="4" t="str">
        <x:v>PAGE302 — CLUB DATA COLLECTION — SLOT 06</x:v>
      </x:c>
      <x:c r="J1" s="4" t="str">
        <x:v>PAGE302 — CLUB DATA COLLECTION — SLOT 06</x:v>
      </x:c>
      <x:c r="K1" s="4" t="str">
        <x:v>PAGE302 — CLUB DATA COLLECTION — SLOT 06</x:v>
      </x:c>
      <x:c r="L1" s="4" t="str">
        <x:v>PAGE302 — CLUB DATA COLLECTION — SLOT 06</x:v>
      </x:c>
    </x:row>
    <x:row r="3">
      <x:c r="A3" s="12" t="str">
        <x:v>TEAM CODE:</x:v>
      </x:c>
      <x:c r="B3" s="23" t="str">
        <x:f>IF('Pack Planner'!$E$16="","",'Pack Planner'!$E$16)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Planner'!$C$16="","",'Pack Planner'!$C$16)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Planner'!$D$16="","",'Pack Planner'!$D$16)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Planner'!$B$16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07</x:v>
      </x:c>
      <x:c r="B1" s="4" t="str">
        <x:v>PAGE302 — CLUB DATA COLLECTION — SLOT 07</x:v>
      </x:c>
      <x:c r="C1" s="4" t="str">
        <x:v>PAGE302 — CLUB DATA COLLECTION — SLOT 07</x:v>
      </x:c>
      <x:c r="D1" s="4" t="str">
        <x:v>PAGE302 — CLUB DATA COLLECTION — SLOT 07</x:v>
      </x:c>
      <x:c r="E1" s="4" t="str">
        <x:v>PAGE302 — CLUB DATA COLLECTION — SLOT 07</x:v>
      </x:c>
      <x:c r="F1" s="4" t="str">
        <x:v>PAGE302 — CLUB DATA COLLECTION — SLOT 07</x:v>
      </x:c>
      <x:c r="G1" s="4" t="str">
        <x:v>PAGE302 — CLUB DATA COLLECTION — SLOT 07</x:v>
      </x:c>
      <x:c r="H1" s="4" t="str">
        <x:v>PAGE302 — CLUB DATA COLLECTION — SLOT 07</x:v>
      </x:c>
      <x:c r="I1" s="4" t="str">
        <x:v>PAGE302 — CLUB DATA COLLECTION — SLOT 07</x:v>
      </x:c>
      <x:c r="J1" s="4" t="str">
        <x:v>PAGE302 — CLUB DATA COLLECTION — SLOT 07</x:v>
      </x:c>
      <x:c r="K1" s="4" t="str">
        <x:v>PAGE302 — CLUB DATA COLLECTION — SLOT 07</x:v>
      </x:c>
      <x:c r="L1" s="4" t="str">
        <x:v>PAGE302 — CLUB DATA COLLECTION — SLOT 07</x:v>
      </x:c>
    </x:row>
    <x:row r="3">
      <x:c r="A3" s="12" t="str">
        <x:v>TEAM CODE:</x:v>
      </x:c>
      <x:c r="B3" s="23" t="str">
        <x:f>IF('Pack Planner'!$E$17="","",'Pack Planner'!$E$17)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Planner'!$C$17="","",'Pack Planner'!$C$17)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Planner'!$D$17="","",'Pack Planner'!$D$17)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Planner'!$B$17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08</x:v>
      </x:c>
      <x:c r="B1" s="4" t="str">
        <x:v>PAGE302 — CLUB DATA COLLECTION — SLOT 08</x:v>
      </x:c>
      <x:c r="C1" s="4" t="str">
        <x:v>PAGE302 — CLUB DATA COLLECTION — SLOT 08</x:v>
      </x:c>
      <x:c r="D1" s="4" t="str">
        <x:v>PAGE302 — CLUB DATA COLLECTION — SLOT 08</x:v>
      </x:c>
      <x:c r="E1" s="4" t="str">
        <x:v>PAGE302 — CLUB DATA COLLECTION — SLOT 08</x:v>
      </x:c>
      <x:c r="F1" s="4" t="str">
        <x:v>PAGE302 — CLUB DATA COLLECTION — SLOT 08</x:v>
      </x:c>
      <x:c r="G1" s="4" t="str">
        <x:v>PAGE302 — CLUB DATA COLLECTION — SLOT 08</x:v>
      </x:c>
      <x:c r="H1" s="4" t="str">
        <x:v>PAGE302 — CLUB DATA COLLECTION — SLOT 08</x:v>
      </x:c>
      <x:c r="I1" s="4" t="str">
        <x:v>PAGE302 — CLUB DATA COLLECTION — SLOT 08</x:v>
      </x:c>
      <x:c r="J1" s="4" t="str">
        <x:v>PAGE302 — CLUB DATA COLLECTION — SLOT 08</x:v>
      </x:c>
      <x:c r="K1" s="4" t="str">
        <x:v>PAGE302 — CLUB DATA COLLECTION — SLOT 08</x:v>
      </x:c>
      <x:c r="L1" s="4" t="str">
        <x:v>PAGE302 — CLUB DATA COLLECTION — SLOT 08</x:v>
      </x:c>
    </x:row>
    <x:row r="3">
      <x:c r="A3" s="12" t="str">
        <x:v>TEAM CODE:</x:v>
      </x:c>
      <x:c r="B3" s="23" t="str">
        <x:f>IF('Pack Planner'!$E$18="","",'Pack Planner'!$E$18)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Planner'!$C$18="","",'Pack Planner'!$C$18)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Planner'!$D$18="","",'Pack Planner'!$D$18)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Planner'!$B$18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09</x:v>
      </x:c>
      <x:c r="B1" s="4" t="str">
        <x:v>PAGE302 — CLUB DATA COLLECTION — SLOT 09</x:v>
      </x:c>
      <x:c r="C1" s="4" t="str">
        <x:v>PAGE302 — CLUB DATA COLLECTION — SLOT 09</x:v>
      </x:c>
      <x:c r="D1" s="4" t="str">
        <x:v>PAGE302 — CLUB DATA COLLECTION — SLOT 09</x:v>
      </x:c>
      <x:c r="E1" s="4" t="str">
        <x:v>PAGE302 — CLUB DATA COLLECTION — SLOT 09</x:v>
      </x:c>
      <x:c r="F1" s="4" t="str">
        <x:v>PAGE302 — CLUB DATA COLLECTION — SLOT 09</x:v>
      </x:c>
      <x:c r="G1" s="4" t="str">
        <x:v>PAGE302 — CLUB DATA COLLECTION — SLOT 09</x:v>
      </x:c>
      <x:c r="H1" s="4" t="str">
        <x:v>PAGE302 — CLUB DATA COLLECTION — SLOT 09</x:v>
      </x:c>
      <x:c r="I1" s="4" t="str">
        <x:v>PAGE302 — CLUB DATA COLLECTION — SLOT 09</x:v>
      </x:c>
      <x:c r="J1" s="4" t="str">
        <x:v>PAGE302 — CLUB DATA COLLECTION — SLOT 09</x:v>
      </x:c>
      <x:c r="K1" s="4" t="str">
        <x:v>PAGE302 — CLUB DATA COLLECTION — SLOT 09</x:v>
      </x:c>
      <x:c r="L1" s="4" t="str">
        <x:v>PAGE302 — CLUB DATA COLLECTION — SLOT 09</x:v>
      </x:c>
    </x:row>
    <x:row r="3">
      <x:c r="A3" s="12" t="str">
        <x:v>TEAM CODE:</x:v>
      </x:c>
      <x:c r="B3" s="23" t="str">
        <x:f>IF('Pack Planner'!$E$19="","",'Pack Planner'!$E$19)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Planner'!$C$19="","",'Pack Planner'!$C$19)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Planner'!$D$19="","",'Pack Planner'!$D$19)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Planner'!$B$19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10</x:v>
      </x:c>
      <x:c r="B1" s="4" t="str">
        <x:v>PAGE302 — CLUB DATA COLLECTION — SLOT 10</x:v>
      </x:c>
      <x:c r="C1" s="4" t="str">
        <x:v>PAGE302 — CLUB DATA COLLECTION — SLOT 10</x:v>
      </x:c>
      <x:c r="D1" s="4" t="str">
        <x:v>PAGE302 — CLUB DATA COLLECTION — SLOT 10</x:v>
      </x:c>
      <x:c r="E1" s="4" t="str">
        <x:v>PAGE302 — CLUB DATA COLLECTION — SLOT 10</x:v>
      </x:c>
      <x:c r="F1" s="4" t="str">
        <x:v>PAGE302 — CLUB DATA COLLECTION — SLOT 10</x:v>
      </x:c>
      <x:c r="G1" s="4" t="str">
        <x:v>PAGE302 — CLUB DATA COLLECTION — SLOT 10</x:v>
      </x:c>
      <x:c r="H1" s="4" t="str">
        <x:v>PAGE302 — CLUB DATA COLLECTION — SLOT 10</x:v>
      </x:c>
      <x:c r="I1" s="4" t="str">
        <x:v>PAGE302 — CLUB DATA COLLECTION — SLOT 10</x:v>
      </x:c>
      <x:c r="J1" s="4" t="str">
        <x:v>PAGE302 — CLUB DATA COLLECTION — SLOT 10</x:v>
      </x:c>
      <x:c r="K1" s="4" t="str">
        <x:v>PAGE302 — CLUB DATA COLLECTION — SLOT 10</x:v>
      </x:c>
      <x:c r="L1" s="4" t="str">
        <x:v>PAGE302 — CLUB DATA COLLECTION — SLOT 10</x:v>
      </x:c>
    </x:row>
    <x:row r="3">
      <x:c r="A3" s="12" t="str">
        <x:v>TEAM CODE:</x:v>
      </x:c>
      <x:c r="B3" s="23" t="str">
        <x:f>IF('Pack Planner'!$E$20="","",'Pack Planner'!$E$20)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Planner'!$C$20="","",'Pack Planner'!$C$20)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Planner'!$D$20="","",'Pack Planner'!$D$20)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Planner'!$B$20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11</x:v>
      </x:c>
      <x:c r="B1" s="4" t="str">
        <x:v>PAGE302 — CLUB DATA COLLECTION — SLOT 11</x:v>
      </x:c>
      <x:c r="C1" s="4" t="str">
        <x:v>PAGE302 — CLUB DATA COLLECTION — SLOT 11</x:v>
      </x:c>
      <x:c r="D1" s="4" t="str">
        <x:v>PAGE302 — CLUB DATA COLLECTION — SLOT 11</x:v>
      </x:c>
      <x:c r="E1" s="4" t="str">
        <x:v>PAGE302 — CLUB DATA COLLECTION — SLOT 11</x:v>
      </x:c>
      <x:c r="F1" s="4" t="str">
        <x:v>PAGE302 — CLUB DATA COLLECTION — SLOT 11</x:v>
      </x:c>
      <x:c r="G1" s="4" t="str">
        <x:v>PAGE302 — CLUB DATA COLLECTION — SLOT 11</x:v>
      </x:c>
      <x:c r="H1" s="4" t="str">
        <x:v>PAGE302 — CLUB DATA COLLECTION — SLOT 11</x:v>
      </x:c>
      <x:c r="I1" s="4" t="str">
        <x:v>PAGE302 — CLUB DATA COLLECTION — SLOT 11</x:v>
      </x:c>
      <x:c r="J1" s="4" t="str">
        <x:v>PAGE302 — CLUB DATA COLLECTION — SLOT 11</x:v>
      </x:c>
      <x:c r="K1" s="4" t="str">
        <x:v>PAGE302 — CLUB DATA COLLECTION — SLOT 11</x:v>
      </x:c>
      <x:c r="L1" s="4" t="str">
        <x:v>PAGE302 — CLUB DATA COLLECTION — SLOT 11</x:v>
      </x:c>
    </x:row>
    <x:row r="3">
      <x:c r="A3" s="12" t="str">
        <x:v>TEAM CODE:</x:v>
      </x:c>
      <x:c r="B3" s="23" t="str">
        <x:f>IF('Pack Planner'!$E$21="","",'Pack Planner'!$E$21)</x:f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Planner'!$C$21="","",'Pack Planner'!$C$21)</x:f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Planner'!$D$21="","",'Pack Planner'!$D$21)</x:f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Planner'!$B$21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dataValidations count="1">
    <x:dataValidation type="whole" operator="between" sqref="B9:G9">
      <x:formula1>0</x:formula1>
      <x:formula2>38</x:formula2>
    </x:dataValidation>
  </x:dataValidations>
  <x:pageMargins left="0.7" right="0.7" top="0.75" bottom="0.75" header="0.3" footer="0.3"/>
</x:worksheet>
</file>