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aa16c854654f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 Planner" sheetId="1" r:id="Rdf5bcaeac1014de0"/>
    <x:sheet xmlns:r="http://schemas.openxmlformats.org/officeDocument/2006/relationships" name="Club 01" sheetId="2" r:id="R80c34efcdfd14073"/>
    <x:sheet xmlns:r="http://schemas.openxmlformats.org/officeDocument/2006/relationships" name="Club 02" sheetId="3" r:id="Rbbc63ac25e6345cc"/>
    <x:sheet xmlns:r="http://schemas.openxmlformats.org/officeDocument/2006/relationships" name="Club 03" sheetId="4" r:id="R15c42b5b33544a03"/>
    <x:sheet xmlns:r="http://schemas.openxmlformats.org/officeDocument/2006/relationships" name="Club 04" sheetId="5" r:id="R36c7356d36e64fee"/>
    <x:sheet xmlns:r="http://schemas.openxmlformats.org/officeDocument/2006/relationships" name="Club 05" sheetId="6" r:id="R53e51e6339864466"/>
    <x:sheet xmlns:r="http://schemas.openxmlformats.org/officeDocument/2006/relationships" name="Club 06" sheetId="7" r:id="Rfec1b36c38394a7e"/>
    <x:sheet xmlns:r="http://schemas.openxmlformats.org/officeDocument/2006/relationships" name="Club 07" sheetId="8" r:id="Rd1eaf9a8e68d4a94"/>
    <x:sheet xmlns:r="http://schemas.openxmlformats.org/officeDocument/2006/relationships" name="Club 08" sheetId="9" r:id="R636b4a7c22eb4b58"/>
    <x:sheet xmlns:r="http://schemas.openxmlformats.org/officeDocument/2006/relationships" name="Club 09" sheetId="10" r:id="Rf8c35e5f89774e44"/>
    <x:sheet xmlns:r="http://schemas.openxmlformats.org/officeDocument/2006/relationships" name="Club 10" sheetId="11" r:id="R1d65ad517ed840fa"/>
    <x:sheet xmlns:r="http://schemas.openxmlformats.org/officeDocument/2006/relationships" name="Club 11" sheetId="12" r:id="R09170996445440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3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1" xfId="0" applyNumberFormat="1" applyFont="1" applyFill="1" applyBorder="1"/>
    <x:xf numFmtId="200" fontId="0" fillId="0" borderId="6" xfId="0" applyNumberFormat="1" applyFont="1" applyFill="1" applyBorder="1"/>
    <x:xf numFmtId="201" fontId="0" fillId="0" borderId="3" xfId="0" applyNumberFormat="1" applyFont="1" applyFill="1" applyBorder="1"/>
    <x:xf numFmtId="201" fontId="0" fillId="0" borderId="1" xfId="0" applyNumberFormat="1" applyFont="1" applyFill="1" applyBorder="1"/>
    <x:xf numFmtId="201" fontId="0" fillId="0" borderId="4" xfId="0" applyNumberFormat="1" applyFont="1" applyFill="1" applyBorder="1"/>
    <x:xf numFmtId="201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24382dace94afa" /><Relationship Type="http://schemas.openxmlformats.org/officeDocument/2006/relationships/theme" Target="/xl/theme/theme1.xml" Id="Rda598d03584d43f0" /><Relationship Type="http://schemas.openxmlformats.org/officeDocument/2006/relationships/sharedStrings" Target="/xl/sharedStrings.xml" Id="R1ef6fbd1d40f4fc5" /><Relationship Type="http://schemas.openxmlformats.org/officeDocument/2006/relationships/worksheet" Target="/xl/worksheets/sheet1.xml" Id="Rdf5bcaeac1014de0" /><Relationship Type="http://schemas.openxmlformats.org/officeDocument/2006/relationships/worksheet" Target="/xl/worksheets/sheet2.xml" Id="R80c34efcdfd14073" /><Relationship Type="http://schemas.openxmlformats.org/officeDocument/2006/relationships/worksheet" Target="/xl/worksheets/sheet3.xml" Id="Rbbc63ac25e6345cc" /><Relationship Type="http://schemas.openxmlformats.org/officeDocument/2006/relationships/worksheet" Target="/xl/worksheets/sheet4.xml" Id="R15c42b5b33544a03" /><Relationship Type="http://schemas.openxmlformats.org/officeDocument/2006/relationships/worksheet" Target="/xl/worksheets/sheet5.xml" Id="R36c7356d36e64fee" /><Relationship Type="http://schemas.openxmlformats.org/officeDocument/2006/relationships/worksheet" Target="/xl/worksheets/sheet6.xml" Id="R53e51e6339864466" /><Relationship Type="http://schemas.openxmlformats.org/officeDocument/2006/relationships/worksheet" Target="/xl/worksheets/sheet7.xml" Id="Rfec1b36c38394a7e" /><Relationship Type="http://schemas.openxmlformats.org/officeDocument/2006/relationships/worksheet" Target="/xl/worksheets/sheet8.xml" Id="Rd1eaf9a8e68d4a94" /><Relationship Type="http://schemas.openxmlformats.org/officeDocument/2006/relationships/worksheet" Target="/xl/worksheets/sheet9.xml" Id="R636b4a7c22eb4b58" /><Relationship Type="http://schemas.openxmlformats.org/officeDocument/2006/relationships/worksheet" Target="/xl/worksheets/sheet10.xml" Id="Rf8c35e5f89774e44" /><Relationship Type="http://schemas.openxmlformats.org/officeDocument/2006/relationships/worksheet" Target="/xl/worksheets/sheet11.xml" Id="R1d65ad517ed840fa" /><Relationship Type="http://schemas.openxmlformats.org/officeDocument/2006/relationships/worksheet" Target="/xl/worksheets/sheet12.xml" Id="R09170996445440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8" hidden="0" customWidth="1"/>
    <x:col min="3" max="3" width="22" hidden="0" customWidth="1"/>
    <x:col min="4" max="4" width="13" hidden="0" customWidth="1"/>
    <x:col min="5" max="5" width="20" hidden="0" customWidth="1"/>
    <x:col min="6" max="6" width="24" hidden="0" customWidth="1"/>
    <x:col min="7" max="7" width="42" hidden="0" customWidth="1"/>
    <x:col min="8" max="8" width="24" hidden="0" customWidth="1"/>
    <x:col min="9" max="9" width="18" hidden="0" customWidth="1"/>
  </x:cols>
  <x:sheetData>
    <x:row r="1" ht="28" customHeight="1">
      <x:c r="A1" s="4" t="str">
        <x:v>PAGE302 — GAME PACK 003 PLANNER</x:v>
      </x:c>
      <x:c r="B1" s="4" t="str">
        <x:v>PAGE302 — GAME PACK 003 PLANNER</x:v>
      </x:c>
      <x:c r="C1" s="4" t="str">
        <x:v>PAGE302 — GAME PACK 003 PLANNER</x:v>
      </x:c>
      <x:c r="D1" s="4" t="str">
        <x:v>PAGE302 — GAME PACK 003 PLANNER</x:v>
      </x:c>
      <x:c r="E1" s="4" t="str">
        <x:v>PAGE302 — GAME PACK 003 PLANNER</x:v>
      </x:c>
      <x:c r="F1" s="4" t="str">
        <x:v>PAGE302 — GAME PACK 003 PLANNER</x:v>
      </x:c>
      <x:c r="G1" s="4" t="str">
        <x:v>PAGE302 — GAME PACK 003 PLANNER</x:v>
      </x:c>
      <x:c r="H1" s="4" t="str">
        <x:v>PAGE302 — GAME PACK 003 PLANNER</x:v>
      </x:c>
      <x:c r="I1" s="4" t="str">
        <x:v>PAGE302 — GAME PACK 003 PLANNER</x:v>
      </x:c>
    </x:row>
    <x:row r="3" ht="34" customHeight="1">
      <x:c r="A3" s="6" t="str">
        <x:v>Choose one club-season per row. Yellow cells are yours to complete. The workbook checks the required 4 / 5 / 2 mix and encourages a spread across the full Premier League era.</x:v>
      </x:c>
    </x:row>
    <x:row r="5">
      <x:c r="A5" s="9" t="str">
        <x:v>PACK STATUS</x:v>
      </x:c>
      <x:c r="B5" s="9" t="str">
        <x:v>PACK STATUS</x:v>
      </x:c>
      <x:c r="C5" s="9" t="str">
        <x:v>PACK STATUS</x:v>
      </x:c>
      <x:c r="E5" s="9" t="str">
        <x:v>COMPOSITION CHECKS</x:v>
      </x:c>
      <x:c r="F5" s="9" t="str">
        <x:v>COMPOSITION CHECKS</x:v>
      </x:c>
      <x:c r="G5" s="9" t="str">
        <x:v>COMPOSITION CHECKS</x:v>
      </x:c>
      <x:c r="H5" s="9" t="str">
        <x:v>COMPOSITION CHECKS</x:v>
      </x:c>
      <x:c r="I5" s="9" t="str">
        <x:v>COMPOSITION CHECKS</x:v>
      </x:c>
    </x:row>
    <x:row r="6">
      <x:c r="A6" s="12" t="str">
        <x:v>Pack number</x:v>
      </x:c>
      <x:c r="B6" s="14" t="str">
        <x:v>003</x:v>
      </x:c>
      <x:c r="C6" s="10"/>
      <x:c r="E6" s="18" t="str">
        <x:v>Category</x:v>
      </x:c>
      <x:c r="F6" s="18" t="str">
        <x:v>Required</x:v>
      </x:c>
      <x:c r="G6" s="18" t="str">
        <x:v>Selected</x:v>
      </x:c>
      <x:c r="H6" s="18" t="str">
        <x:v>Result</x:v>
      </x:c>
      <x:c r="I6" s="18" t="str">
        <x:v>Rule</x:v>
      </x:c>
    </x:row>
    <x:row r="7" ht="28" customHeight="1">
      <x:c r="A7" s="12" t="str">
        <x:v>Clubs selected</x:v>
      </x:c>
      <x:c r="B7" s="14" t="n">
        <x:f>COUNTIF(C11:C21,"&lt;&gt;")</x:f>
        <x:v>11</x:v>
      </x:c>
      <x:c r="C7" s="10" t="str">
        <x:v>Target: 11</x:v>
      </x:c>
      <x:c r="E7" s="20" t="str">
        <x:v>Sky 6</x:v>
      </x:c>
      <x:c r="F7" s="19" t="n">
        <x:v>4</x:v>
      </x:c>
      <x:c r="G7" s="19" t="n">
        <x:f>COUNTIFS(B11:B21,E7,C11:C21,"&lt;&gt;")</x:f>
        <x:v>4</x:v>
      </x:c>
      <x:c r="H7" s="19" t="str">
        <x:f>IF(G7=F7,"OK","CHECK")</x:f>
        <x:v>OK</x:v>
      </x:c>
      <x:c r="I7" s="10" t="str">
        <x:v>Exactly 4</x:v>
      </x:c>
    </x:row>
    <x:row r="8" ht="28" customHeight="1">
      <x:c r="A8" s="12" t="str">
        <x:v>Pack readiness</x:v>
      </x:c>
      <x:c r="B8" s="14" t="str">
        <x:f>IF(B7=11,"READY TO COLLECT DATA","IN PROGRESS")</x:f>
        <x:v>READY TO COLLECT DATA</x:v>
      </x:c>
      <x:c r="C8" s="10" t="str">
        <x:v>Complete all 11 rows before collecting player data.</x:v>
      </x:c>
      <x:c r="E8" s="20" t="str">
        <x:v>Other current Premier League club</x:v>
      </x:c>
      <x:c r="F8" s="19" t="n">
        <x:v>5</x:v>
      </x:c>
      <x:c r="G8" s="19" t="n">
        <x:f>COUNTIFS(B11:B21,E8,C11:C21,"&lt;&gt;")</x:f>
        <x:v>5</x:v>
      </x:c>
      <x:c r="H8" s="19" t="str">
        <x:f>IF(G8=F8,"OK","CHECK")</x:f>
        <x:v>OK</x:v>
      </x:c>
      <x:c r="I8" s="10" t="str">
        <x:v>Exactly 5</x:v>
      </x:c>
    </x:row>
    <x:row r="9" ht="28" customHeight="1">
      <x:c r="E9" s="20" t="str">
        <x:v>Not currently in the Premier League</x:v>
      </x:c>
      <x:c r="F9" s="19" t="n">
        <x:v>2</x:v>
      </x:c>
      <x:c r="G9" s="19" t="n">
        <x:f>COUNTIFS(B11:B21,E9,C11:C21,"&lt;&gt;")</x:f>
        <x:v>2</x:v>
      </x:c>
      <x:c r="H9" s="19" t="str">
        <x:f>IF(G9=F9,"OK","CHECK")</x:f>
        <x:v>OK</x:v>
      </x:c>
      <x:c r="I9" s="10" t="str">
        <x:v>Exactly 2</x:v>
      </x:c>
    </x:row>
    <x:row r="10">
      <x:c r="A10" s="18" t="str">
        <x:v>Slot</x:v>
      </x:c>
      <x:c r="B10" s="18" t="str">
        <x:v>Required category</x:v>
      </x:c>
      <x:c r="C10" s="18" t="str">
        <x:v>Club</x:v>
      </x:c>
      <x:c r="D10" s="18" t="str">
        <x:v>Season</x:v>
      </x:c>
      <x:c r="E10" s="18" t="str">
        <x:v>Team code</x:v>
      </x:c>
      <x:c r="F10" s="18" t="str">
        <x:v>Era</x:v>
      </x:c>
      <x:c r="G10" s="18" t="str">
        <x:v>FBref URL (filled on club tab)</x:v>
      </x:c>
      <x:c r="H10" s="18" t="str">
        <x:v>Manager (filled on club tab)</x:v>
      </x:c>
      <x:c r="I10" s="18" t="str">
        <x:v>Row status</x:v>
      </x:c>
    </x:row>
    <x:row r="11" ht="28" customHeight="1">
      <x:c r="A11" s="11" t="n">
        <x:v>1</x:v>
      </x:c>
      <x:c r="B11" s="21" t="str">
        <x:v>Sky 6</x:v>
      </x:c>
      <x:c r="C11" s="22" t="str">
        <x:v>Liverpool</x:v>
      </x:c>
      <x:c r="D11" s="22" t="str">
        <x:v>1995-96</x:v>
      </x:c>
      <x:c r="E11" s="22" t="str">
        <x:v>LIV9596</x:v>
      </x:c>
      <x:c r="F11" s="22" t="str">
        <x:v>1990s (1992-99)</x:v>
      </x:c>
      <x:c r="G11" s="23" t="str">
        <x:f>IF('Club 01'!$B$7="","",'Club 01'!$B$7)</x:f>
        <x:v>https://fbref.com/en/squads/822bd0ba/1995-1996/Liverpool-Stats</x:v>
      </x:c>
      <x:c r="H11" s="23" t="str">
        <x:f>IF('Club 01'!$B$8="","",'Club 01'!$B$8)&amp;IF('Club 01'!$C$8="","",", "&amp;'Club 01'!$C$8)&amp;IF('Club 01'!$D$8="","",", "&amp;'Club 01'!$D$8)&amp;IF('Club 01'!$E$8="","",", "&amp;'Club 01'!$E$8)&amp;IF('Club 01'!$F$8="","",", "&amp;'Club 01'!$F$8)&amp;IF('Club 01'!$G$8="","",", "&amp;'Club 01'!$G$8)</x:f>
        <x:v>Roy Evans</x:v>
      </x:c>
      <x:c r="I11" s="14" t="str">
        <x:f>IF(AND(C11&lt;&gt;"",D11&lt;&gt;"",E11&lt;&gt;"",F11&lt;&gt;"",G11&lt;&gt;"",H11&lt;&gt;""),"READY","NEEDS DETAILS")</x:f>
        <x:v>READY</x:v>
      </x:c>
    </x:row>
    <x:row r="12" ht="28" customHeight="1">
      <x:c r="A12" s="11" t="n">
        <x:v>2</x:v>
      </x:c>
      <x:c r="B12" s="21" t="str">
        <x:v>Sky 6</x:v>
      </x:c>
      <x:c r="C12" s="22" t="str">
        <x:v>Man Utd</x:v>
      </x:c>
      <x:c r="D12" s="22" t="str">
        <x:v>2007-08</x:v>
      </x:c>
      <x:c r="E12" s="22" t="str">
        <x:v>MUN0708</x:v>
      </x:c>
      <x:c r="F12" s="22" t="str">
        <x:v>Late 2000s (2005-09)</x:v>
      </x:c>
      <x:c r="G12" s="23" t="str">
        <x:f>IF('Club 02'!$B$7="","",'Club 02'!$B$7)</x:f>
        <x:v>https://fbref.com/en/squads/19538871/2007-2008/Manchester-United-Stats</x:v>
      </x:c>
      <x:c r="H12" s="23" t="str">
        <x:f>IF('Club 02'!$B$8="","",'Club 02'!$B$8)&amp;IF('Club 02'!$C$8="","",", "&amp;'Club 02'!$C$8)&amp;IF('Club 02'!$D$8="","",", "&amp;'Club 02'!$D$8)&amp;IF('Club 02'!$E$8="","",", "&amp;'Club 02'!$E$8)&amp;IF('Club 02'!$F$8="","",", "&amp;'Club 02'!$F$8)&amp;IF('Club 02'!$G$8="","",", "&amp;'Club 02'!$G$8)</x:f>
        <x:v>Alex Ferguson</x:v>
      </x:c>
      <x:c r="I12" s="14" t="str">
        <x:f>IF(AND(C12&lt;&gt;"",D12&lt;&gt;"",E12&lt;&gt;"",F12&lt;&gt;"",G12&lt;&gt;"",H12&lt;&gt;""),"READY","NEEDS DETAILS")</x:f>
        <x:v>READY</x:v>
      </x:c>
    </x:row>
    <x:row r="13" ht="28" customHeight="1">
      <x:c r="A13" s="11" t="n">
        <x:v>3</x:v>
      </x:c>
      <x:c r="B13" s="21" t="str">
        <x:v>Sky 6</x:v>
      </x:c>
      <x:c r="C13" s="22" t="str">
        <x:v>Arsenal</x:v>
      </x:c>
      <x:c r="D13" s="22" t="str">
        <x:v>2023-24</x:v>
      </x:c>
      <x:c r="E13" s="22" t="str">
        <x:v>ARS2324</x:v>
      </x:c>
      <x:c r="F13" s="22" t="str">
        <x:v>Modern era (2020+)</x:v>
      </x:c>
      <x:c r="G13" s="23" t="str">
        <x:f>IF('Club 03'!$B$7="","",'Club 03'!$B$7)</x:f>
        <x:v>https://fbref.com/en/squads/18bb7c10/2023-2024/Arsenal-Stats</x:v>
      </x:c>
      <x:c r="H13" s="23" t="str">
        <x:f>IF('Club 03'!$B$8="","",'Club 03'!$B$8)&amp;IF('Club 03'!$C$8="","",", "&amp;'Club 03'!$C$8)&amp;IF('Club 03'!$D$8="","",", "&amp;'Club 03'!$D$8)&amp;IF('Club 03'!$E$8="","",", "&amp;'Club 03'!$E$8)&amp;IF('Club 03'!$F$8="","",", "&amp;'Club 03'!$F$8)&amp;IF('Club 03'!$G$8="","",", "&amp;'Club 03'!$G$8)</x:f>
        <x:v>Mikel Arteta</x:v>
      </x:c>
      <x:c r="I13" s="14" t="str">
        <x:f>IF(AND(C13&lt;&gt;"",D13&lt;&gt;"",E13&lt;&gt;"",F13&lt;&gt;"",G13&lt;&gt;"",H13&lt;&gt;""),"READY","NEEDS DETAILS")</x:f>
        <x:v>READY</x:v>
      </x:c>
    </x:row>
    <x:row r="14" ht="28" customHeight="1">
      <x:c r="A14" s="11" t="n">
        <x:v>4</x:v>
      </x:c>
      <x:c r="B14" s="21" t="str">
        <x:v>Sky 6</x:v>
      </x:c>
      <x:c r="C14" s="22" t="str">
        <x:v>Chelsea</x:v>
      </x:c>
      <x:c r="D14" s="22" t="str">
        <x:v>2013-14</x:v>
      </x:c>
      <x:c r="E14" s="22" t="str">
        <x:v>CHE1314</x:v>
      </x:c>
      <x:c r="F14" s="22" t="str">
        <x:v>Early 2010s (2010-14)</x:v>
      </x:c>
      <x:c r="G14" s="23" t="str">
        <x:f>IF('Club 04'!$B$7="","",'Club 04'!$B$7)</x:f>
        <x:v>https://fbref.com/en/squads/cff3d9bb/2013-2014/Chelsea-Stats</x:v>
      </x:c>
      <x:c r="H14" s="23" t="str">
        <x:f>IF('Club 04'!$B$8="","",'Club 04'!$B$8)&amp;IF('Club 04'!$C$8="","",", "&amp;'Club 04'!$C$8)&amp;IF('Club 04'!$D$8="","",", "&amp;'Club 04'!$D$8)&amp;IF('Club 04'!$E$8="","",", "&amp;'Club 04'!$E$8)&amp;IF('Club 04'!$F$8="","",", "&amp;'Club 04'!$F$8)&amp;IF('Club 04'!$G$8="","",", "&amp;'Club 04'!$G$8)</x:f>
        <x:v>José Mourinho</x:v>
      </x:c>
      <x:c r="I14" s="14" t="str">
        <x:f>IF(AND(C14&lt;&gt;"",D14&lt;&gt;"",E14&lt;&gt;"",F14&lt;&gt;"",G14&lt;&gt;"",H14&lt;&gt;""),"READY","NEEDS DETAILS")</x:f>
        <x:v>READY</x:v>
      </x:c>
    </x:row>
    <x:row r="15" ht="28" customHeight="1">
      <x:c r="A15" s="11" t="n">
        <x:v>5</x:v>
      </x:c>
      <x:c r="B15" s="21" t="str">
        <x:v>Other current Premier League club</x:v>
      </x:c>
      <x:c r="C15" s="22" t="str">
        <x:v>Newcastle</x:v>
      </x:c>
      <x:c r="D15" s="22" t="str">
        <x:v>2002-03</x:v>
      </x:c>
      <x:c r="E15" s="22" t="str">
        <x:v>NEW0203</x:v>
      </x:c>
      <x:c r="F15" s="22" t="str">
        <x:v>Early 2000s (2000-04)</x:v>
      </x:c>
      <x:c r="G15" s="23" t="str">
        <x:f>IF('Club 05'!$B$7="","",'Club 05'!$B$7)</x:f>
        <x:v>https://fbref.com/en/squads/b2b47a98/2002-2003/Newcastle-United-Stats</x:v>
      </x:c>
      <x:c r="H15" s="23" t="str">
        <x:f>IF('Club 05'!$B$8="","",'Club 05'!$B$8)&amp;IF('Club 05'!$C$8="","",", "&amp;'Club 05'!$C$8)&amp;IF('Club 05'!$D$8="","",", "&amp;'Club 05'!$D$8)&amp;IF('Club 05'!$E$8="","",", "&amp;'Club 05'!$E$8)&amp;IF('Club 05'!$F$8="","",", "&amp;'Club 05'!$F$8)&amp;IF('Club 05'!$G$8="","",", "&amp;'Club 05'!$G$8)</x:f>
        <x:v>Bobby Robson</x:v>
      </x:c>
      <x:c r="I15" s="14" t="str">
        <x:f>IF(AND(C15&lt;&gt;"",D15&lt;&gt;"",E15&lt;&gt;"",F15&lt;&gt;"",G15&lt;&gt;"",H15&lt;&gt;""),"READY","NEEDS DETAILS")</x:f>
        <x:v>READY</x:v>
      </x:c>
    </x:row>
    <x:row r="16" ht="28" customHeight="1">
      <x:c r="A16" s="11" t="n">
        <x:v>6</x:v>
      </x:c>
      <x:c r="B16" s="21" t="str">
        <x:v>Other current Premier League club</x:v>
      </x:c>
      <x:c r="C16" s="22" t="str">
        <x:v>Brighton</x:v>
      </x:c>
      <x:c r="D16" s="22" t="str">
        <x:v>2022-23</x:v>
      </x:c>
      <x:c r="E16" s="22" t="str">
        <x:v>BRI2223</x:v>
      </x:c>
      <x:c r="F16" s="22" t="str">
        <x:v>Modern era (2020+)</x:v>
      </x:c>
      <x:c r="G16" s="23" t="str">
        <x:f>IF('Club 06'!$B$7="","",'Club 06'!$B$7)</x:f>
        <x:v>https://fbref.com/en/squads/d07537b9/2022-2023/Brighton-and-Hove-Albion-Stats</x:v>
      </x:c>
      <x:c r="H16" s="23" t="str">
        <x:f>IF('Club 06'!$B$8="","",'Club 06'!$B$8)&amp;IF('Club 06'!$C$8="","",", "&amp;'Club 06'!$C$8)&amp;IF('Club 06'!$D$8="","",", "&amp;'Club 06'!$D$8)&amp;IF('Club 06'!$E$8="","",", "&amp;'Club 06'!$E$8)&amp;IF('Club 06'!$F$8="","",", "&amp;'Club 06'!$F$8)&amp;IF('Club 06'!$G$8="","",", "&amp;'Club 06'!$G$8)</x:f>
        <x:v>Graham Potter, Roberto De Zerbi</x:v>
      </x:c>
      <x:c r="I16" s="14" t="str">
        <x:f>IF(AND(C16&lt;&gt;"",D16&lt;&gt;"",E16&lt;&gt;"",F16&lt;&gt;"",G16&lt;&gt;"",H16&lt;&gt;""),"READY","NEEDS DETAILS")</x:f>
        <x:v>READY</x:v>
      </x:c>
    </x:row>
    <x:row r="17" ht="28" customHeight="1">
      <x:c r="A17" s="11" t="n">
        <x:v>7</x:v>
      </x:c>
      <x:c r="B17" s="21" t="str">
        <x:v>Other current Premier League club</x:v>
      </x:c>
      <x:c r="C17" s="22" t="str">
        <x:v>Crystal Palace</x:v>
      </x:c>
      <x:c r="D17" s="22" t="str">
        <x:v>1994-95</x:v>
      </x:c>
      <x:c r="E17" s="22" t="str">
        <x:v>CRY9495</x:v>
      </x:c>
      <x:c r="F17" s="22" t="str">
        <x:v>1990s (1992-99)</x:v>
      </x:c>
      <x:c r="G17" s="23" t="str">
        <x:f>IF('Club 07'!$B$7="","",'Club 07'!$B$7)</x:f>
        <x:v>https://fbref.com/en/squads/47c64c55/1994-1995/Crystal-Palace-Stats</x:v>
      </x:c>
      <x:c r="H17" s="23" t="str">
        <x:f>IF('Club 07'!$B$8="","",'Club 07'!$B$8)&amp;IF('Club 07'!$C$8="","",", "&amp;'Club 07'!$C$8)&amp;IF('Club 07'!$D$8="","",", "&amp;'Club 07'!$D$8)&amp;IF('Club 07'!$E$8="","",", "&amp;'Club 07'!$E$8)&amp;IF('Club 07'!$F$8="","",", "&amp;'Club 07'!$F$8)&amp;IF('Club 07'!$G$8="","",", "&amp;'Club 07'!$G$8)</x:f>
        <x:v>Alan Smith</x:v>
      </x:c>
      <x:c r="I17" s="14" t="str">
        <x:f>IF(AND(C17&lt;&gt;"",D17&lt;&gt;"",E17&lt;&gt;"",F17&lt;&gt;"",G17&lt;&gt;"",H17&lt;&gt;""),"READY","NEEDS DETAILS")</x:f>
        <x:v>READY</x:v>
      </x:c>
    </x:row>
    <x:row r="18" ht="28" customHeight="1">
      <x:c r="A18" s="11" t="n">
        <x:v>8</x:v>
      </x:c>
      <x:c r="B18" s="21" t="str">
        <x:v>Other current Premier League club</x:v>
      </x:c>
      <x:c r="C18" s="22" t="str">
        <x:v>Fulham</x:v>
      </x:c>
      <x:c r="D18" s="22" t="str">
        <x:v>2010-11</x:v>
      </x:c>
      <x:c r="E18" s="22" t="str">
        <x:v>FUL1011</x:v>
      </x:c>
      <x:c r="F18" s="22" t="str">
        <x:v>Early 2010s (2010-14)</x:v>
      </x:c>
      <x:c r="G18" s="23" t="str">
        <x:f>IF('Club 08'!$B$7="","",'Club 08'!$B$7)</x:f>
        <x:v>https://fbref.com/en/squads/fd962109/2010-2011/Fulham-Stats</x:v>
      </x:c>
      <x:c r="H18" s="23" t="str">
        <x:f>IF('Club 08'!$B$8="","",'Club 08'!$B$8)&amp;IF('Club 08'!$C$8="","",", "&amp;'Club 08'!$C$8)&amp;IF('Club 08'!$D$8="","",", "&amp;'Club 08'!$D$8)&amp;IF('Club 08'!$E$8="","",", "&amp;'Club 08'!$E$8)&amp;IF('Club 08'!$F$8="","",", "&amp;'Club 08'!$F$8)&amp;IF('Club 08'!$G$8="","",", "&amp;'Club 08'!$G$8)</x:f>
        <x:v>Mark Hughes</x:v>
      </x:c>
      <x:c r="I18" s="14" t="str">
        <x:f>IF(AND(C18&lt;&gt;"",D18&lt;&gt;"",E18&lt;&gt;"",F18&lt;&gt;"",G18&lt;&gt;"",H18&lt;&gt;""),"READY","NEEDS DETAILS")</x:f>
        <x:v>READY</x:v>
      </x:c>
    </x:row>
    <x:row r="19" ht="28" customHeight="1">
      <x:c r="A19" s="11" t="n">
        <x:v>9</x:v>
      </x:c>
      <x:c r="B19" s="21" t="str">
        <x:v>Other current Premier League club</x:v>
      </x:c>
      <x:c r="C19" s="22" t="str">
        <x:v>Bournemouth</x:v>
      </x:c>
      <x:c r="D19" s="22" t="str">
        <x:v>2018-19</x:v>
      </x:c>
      <x:c r="E19" s="22" t="str">
        <x:v>BOU1819</x:v>
      </x:c>
      <x:c r="F19" s="22" t="str">
        <x:v>Late 2010s (2015-19)</x:v>
      </x:c>
      <x:c r="G19" s="23" t="str">
        <x:f>IF('Club 09'!$B$7="","",'Club 09'!$B$7)</x:f>
        <x:v>https://fbref.com/en/squads/4ba7cbea/2018-2019/Bournemouth-Stats</x:v>
      </x:c>
      <x:c r="H19" s="23" t="str">
        <x:f>IF('Club 09'!$B$8="","",'Club 09'!$B$8)&amp;IF('Club 09'!$C$8="","",", "&amp;'Club 09'!$C$8)&amp;IF('Club 09'!$D$8="","",", "&amp;'Club 09'!$D$8)&amp;IF('Club 09'!$E$8="","",", "&amp;'Club 09'!$E$8)&amp;IF('Club 09'!$F$8="","",", "&amp;'Club 09'!$F$8)&amp;IF('Club 09'!$G$8="","",", "&amp;'Club 09'!$G$8)</x:f>
        <x:v>Eddie Howe</x:v>
      </x:c>
      <x:c r="I19" s="14" t="str">
        <x:f>IF(AND(C19&lt;&gt;"",D19&lt;&gt;"",E19&lt;&gt;"",F19&lt;&gt;"",G19&lt;&gt;"",H19&lt;&gt;""),"READY","NEEDS DETAILS")</x:f>
        <x:v>READY</x:v>
      </x:c>
    </x:row>
    <x:row r="20" ht="28" customHeight="1">
      <x:c r="A20" s="11" t="n">
        <x:v>10</x:v>
      </x:c>
      <x:c r="B20" s="21" t="str">
        <x:v>Not currently in the Premier League</x:v>
      </x:c>
      <x:c r="C20" s="22" t="str">
        <x:v>QPR</x:v>
      </x:c>
      <x:c r="D20" s="22" t="str">
        <x:v>1992-93</x:v>
      </x:c>
      <x:c r="E20" s="22" t="str">
        <x:v>QPR9293</x:v>
      </x:c>
      <x:c r="F20" s="22" t="str">
        <x:v>1990s (1992-99)</x:v>
      </x:c>
      <x:c r="G20" s="23" t="str">
        <x:f>IF('Club 10'!$B$7="","",'Club 10'!$B$7)</x:f>
        <x:v>https://fbref.com/en/squads/a757999c/1992-1993/Queens-Park-Rangers-Stats</x:v>
      </x:c>
      <x:c r="H20" s="23" t="str">
        <x:f>IF('Club 10'!$B$8="","",'Club 10'!$B$8)&amp;IF('Club 10'!$C$8="","",", "&amp;'Club 10'!$C$8)&amp;IF('Club 10'!$D$8="","",", "&amp;'Club 10'!$D$8)&amp;IF('Club 10'!$E$8="","",", "&amp;'Club 10'!$E$8)&amp;IF('Club 10'!$F$8="","",", "&amp;'Club 10'!$F$8)&amp;IF('Club 10'!$G$8="","",", "&amp;'Club 10'!$G$8)</x:f>
        <x:v>Gerry Francis</x:v>
      </x:c>
      <x:c r="I20" s="14" t="str">
        <x:f>IF(AND(C20&lt;&gt;"",D20&lt;&gt;"",E20&lt;&gt;"",F20&lt;&gt;"",G20&lt;&gt;"",H20&lt;&gt;""),"READY","NEEDS DETAILS")</x:f>
        <x:v>READY</x:v>
      </x:c>
    </x:row>
    <x:row r="21" ht="28" customHeight="1">
      <x:c r="A21" s="11" t="n">
        <x:v>11</x:v>
      </x:c>
      <x:c r="B21" s="21" t="str">
        <x:v>Not currently in the Premier League</x:v>
      </x:c>
      <x:c r="C21" s="22" t="str">
        <x:v>Swansea</x:v>
      </x:c>
      <x:c r="D21" s="22" t="str">
        <x:v>2011-12</x:v>
      </x:c>
      <x:c r="E21" s="22" t="str">
        <x:v>SWA1112</x:v>
      </x:c>
      <x:c r="F21" s="22" t="str">
        <x:v>Early 2010s (2010-14)</x:v>
      </x:c>
      <x:c r="G21" s="23" t="str">
        <x:f>IF('Club 11'!$B$7="","",'Club 11'!$B$7)</x:f>
        <x:v>https://fbref.com/en/squads/fb10988f/2011-2012/Swansea-City-Stats</x:v>
      </x:c>
      <x:c r="H21" s="23" t="str">
        <x:f>IF('Club 11'!$B$8="","",'Club 11'!$B$8)&amp;IF('Club 11'!$C$8="","",", "&amp;'Club 11'!$C$8)&amp;IF('Club 11'!$D$8="","",", "&amp;'Club 11'!$D$8)&amp;IF('Club 11'!$E$8="","",", "&amp;'Club 11'!$E$8)&amp;IF('Club 11'!$F$8="","",", "&amp;'Club 11'!$F$8)&amp;IF('Club 11'!$G$8="","",", "&amp;'Club 11'!$G$8)</x:f>
        <x:v>Brendan Rodgers</x:v>
      </x:c>
      <x:c r="I21" s="14" t="str">
        <x:f>IF(AND(C21&lt;&gt;"",D21&lt;&gt;"",E21&lt;&gt;"",F21&lt;&gt;"",G21&lt;&gt;"",H21&lt;&gt;""),"READY","NEEDS DETAILS")</x:f>
        <x:v>READY</x:v>
      </x:c>
    </x:row>
    <x:row r="23" ht="32" customHeight="1">
      <x:c r="A23" s="26" t="str">
        <x:v>IMPORTANT: Set the category at pack-design time. Do not change historic pack categories just because a club is promoted or relegated later.</x:v>
      </x:c>
      <x:c r="E23" s="9" t="str">
        <x:v>ERA COVERAGE</x:v>
      </x:c>
      <x:c r="F23" s="9" t="str">
        <x:v>ERA COVERAGE</x:v>
      </x:c>
    </x:row>
    <x:row r="24">
      <x:c r="E24" s="18" t="str">
        <x:v>Era</x:v>
      </x:c>
      <x:c r="F24" s="18" t="str">
        <x:v>Selected</x:v>
      </x:c>
    </x:row>
    <x:row r="25">
      <x:c r="E25" s="10" t="str">
        <x:v>1990s (1992-99)</x:v>
      </x:c>
      <x:c r="F25" s="10" t="n">
        <x:f>COUNTIF($F$11:$F$21,E25)</x:f>
        <x:v>3</x:v>
      </x:c>
    </x:row>
    <x:row r="26">
      <x:c r="E26" s="10" t="str">
        <x:v>Early 2000s (2000-04)</x:v>
      </x:c>
      <x:c r="F26" s="10" t="n">
        <x:f>COUNTIF($F$11:$F$21,E26)</x:f>
        <x:v>1</x:v>
      </x:c>
    </x:row>
    <x:row r="27">
      <x:c r="E27" s="10" t="str">
        <x:v>Late 2000s (2005-09)</x:v>
      </x:c>
      <x:c r="F27" s="10" t="n">
        <x:f>COUNTIF($F$11:$F$21,E27)</x:f>
        <x:v>1</x:v>
      </x:c>
    </x:row>
    <x:row r="28">
      <x:c r="E28" s="10" t="str">
        <x:v>Early 2010s (2010-14)</x:v>
      </x:c>
      <x:c r="F28" s="10" t="n">
        <x:f>COUNTIF($F$11:$F$21,E28)</x:f>
        <x:v>3</x:v>
      </x:c>
    </x:row>
    <x:row r="29">
      <x:c r="E29" s="10" t="str">
        <x:v>Late 2010s (2015-19)</x:v>
      </x:c>
      <x:c r="F29" s="10" t="n">
        <x:f>COUNTIF($F$11:$F$21,E29)</x:f>
        <x:v>1</x:v>
      </x:c>
    </x:row>
    <x:row r="30">
      <x:c r="E30" s="10" t="str">
        <x:v>Modern era (2020+)</x:v>
      </x:c>
      <x:c r="F30" s="10" t="n">
        <x:f>COUNTIF($F$11:$F$21,E30)</x:f>
        <x:v>2</x:v>
      </x:c>
    </x:row>
  </x:sheetData>
  <x:mergeCells>
    <x:mergeCell ref="A1:I1"/>
    <x:mergeCell ref="A3:I3"/>
    <x:mergeCell ref="A5:C5"/>
    <x:mergeCell ref="E5:I5"/>
    <x:mergeCell ref="E23:F23"/>
    <x:mergeCell ref="A23:C23"/>
  </x:mergeCells>
  <x:dataValidations count="1">
    <x:dataValidation type="list" sqref="F11:F21">
      <x:formula1>"1990s (1992-99),Early 2000s (2000-04),Late 2000s (2005-09),Early 2010s (2010-14),Late 2010s (2015-19),Modern era (2020+)"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01</x:v>
      </x:c>
      <x:c r="B1" s="4" t="str">
        <x:v>PAGE302 — CLUB DATA COLLECTION — SLOT 01</x:v>
      </x:c>
      <x:c r="C1" s="4" t="str">
        <x:v>PAGE302 — CLUB DATA COLLECTION — SLOT 01</x:v>
      </x:c>
      <x:c r="D1" s="4" t="str">
        <x:v>PAGE302 — CLUB DATA COLLECTION — SLOT 01</x:v>
      </x:c>
      <x:c r="E1" s="4" t="str">
        <x:v>PAGE302 — CLUB DATA COLLECTION — SLOT 01</x:v>
      </x:c>
      <x:c r="F1" s="4" t="str">
        <x:v>PAGE302 — CLUB DATA COLLECTION — SLOT 01</x:v>
      </x:c>
      <x:c r="G1" s="4" t="str">
        <x:v>PAGE302 — CLUB DATA COLLECTION — SLOT 01</x:v>
      </x:c>
      <x:c r="H1" s="4" t="str">
        <x:v>PAGE302 — CLUB DATA COLLECTION — SLOT 01</x:v>
      </x:c>
      <x:c r="I1" s="4" t="str">
        <x:v>PAGE302 — CLUB DATA COLLECTION — SLOT 01</x:v>
      </x:c>
      <x:c r="J1" s="4" t="str">
        <x:v>PAGE302 — CLUB DATA COLLECTION — SLOT 01</x:v>
      </x:c>
      <x:c r="K1" s="4" t="str">
        <x:v>PAGE302 — CLUB DATA COLLECTION — SLOT 01</x:v>
      </x:c>
      <x:c r="L1" s="4" t="str">
        <x:v>PAGE302 — CLUB DATA COLLECTION — SLOT 01</x:v>
      </x:c>
    </x:row>
    <x:row r="3">
      <x:c r="A3" s="12" t="str">
        <x:v>TEAM CODE:</x:v>
      </x:c>
      <x:c r="B3" s="23" t="str">
        <x:f>IF('Pack Planner'!$E$11="","",'Pack Planner'!$E$11)</x:f>
        <x:v>LIV9596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Planner'!$C$11="","",'Pack Planner'!$C$11)</x:f>
        <x:v>Liverpool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Planner'!$D$11="","",'Pack Planner'!$D$11)</x:f>
        <x:v>1995-96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Planner'!$B$11</x:f>
        <x:v>Sky 6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 t="str">
        <x:v>https://fbref.com/en/squads/822bd0ba/1995-1996/Liverpool-Stats</x:v>
      </x:c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 t="str">
        <x:v>Roy Evans</x:v>
      </x:c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 t="n">
        <x:v>38</x:v>
      </x:c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 t="str">
        <x:v>James</x:v>
      </x:c>
      <x:c r="C14" s="31" t="str">
        <x:v>eng ENG</x:v>
      </x:c>
      <x:c r="D14" s="31" t="str">
        <x:v>GK</x:v>
      </x:c>
      <x:c r="E14" s="46" t="n">
        <x:v>24</x:v>
      </x:c>
      <x:c r="F14" s="46" t="n">
        <x:v>38</x:v>
      </x:c>
      <x:c r="G14" s="46" t="n">
        <x:v>38</x:v>
      </x:c>
      <x:c r="H14" s="46" t="n">
        <x:v>3420</x:v>
      </x:c>
      <x:c r="I14" s="42" t="n">
        <x:v>38</x:v>
      </x:c>
      <x:c r="J14" s="46" t="n">
        <x:v>0</x:v>
      </x:c>
      <x:c r="K14" s="46" t="n">
        <x:v>1</x:v>
      </x:c>
      <x:c r="L14" s="48" t="n">
        <x:v>1</x:v>
      </x:c>
    </x:row>
    <x:row r="15">
      <x:c r="A15" s="39" t="n">
        <x:v>2</x:v>
      </x:c>
      <x:c r="B15" s="33" t="str">
        <x:v>Steve McManaman</x:v>
      </x:c>
      <x:c r="C15" s="10" t="str">
        <x:v>eng ENG</x:v>
      </x:c>
      <x:c r="D15" s="10" t="str">
        <x:v>MF</x:v>
      </x:c>
      <x:c r="E15" s="47" t="n">
        <x:v>23</x:v>
      </x:c>
      <x:c r="F15" s="47" t="n">
        <x:v>38</x:v>
      </x:c>
      <x:c r="G15" s="47" t="n">
        <x:v>38</x:v>
      </x:c>
      <x:c r="H15" s="47" t="n">
        <x:v>3408</x:v>
      </x:c>
      <x:c r="I15" s="44" t="n">
        <x:v>37.9</x:v>
      </x:c>
      <x:c r="J15" s="47" t="n">
        <x:v>6</x:v>
      </x:c>
      <x:c r="K15" s="47" t="n">
        <x:v>15</x:v>
      </x:c>
      <x:c r="L15" s="49" t="n">
        <x:v>21</x:v>
      </x:c>
    </x:row>
    <x:row r="16">
      <x:c r="A16" s="39" t="n">
        <x:v>3</x:v>
      </x:c>
      <x:c r="B16" s="33" t="str">
        <x:v>Robbie Fowler</x:v>
      </x:c>
      <x:c r="C16" s="10" t="str">
        <x:v>eng ENG</x:v>
      </x:c>
      <x:c r="D16" s="10" t="str">
        <x:v>FW</x:v>
      </x:c>
      <x:c r="E16" s="47" t="n">
        <x:v>20</x:v>
      </x:c>
      <x:c r="F16" s="47" t="n">
        <x:v>38</x:v>
      </x:c>
      <x:c r="G16" s="47" t="n">
        <x:v>36</x:v>
      </x:c>
      <x:c r="H16" s="47" t="n">
        <x:v>3274</x:v>
      </x:c>
      <x:c r="I16" s="44" t="n">
        <x:v>36.4</x:v>
      </x:c>
      <x:c r="J16" s="47" t="n">
        <x:v>28</x:v>
      </x:c>
      <x:c r="K16" s="47" t="n">
        <x:v>5</x:v>
      </x:c>
      <x:c r="L16" s="49" t="n">
        <x:v>33</x:v>
      </x:c>
    </x:row>
    <x:row r="17">
      <x:c r="A17" s="39" t="n">
        <x:v>4</x:v>
      </x:c>
      <x:c r="B17" s="33" t="str">
        <x:v>John Barnes</x:v>
      </x:c>
      <x:c r="C17" s="10" t="str">
        <x:v>eng ENG</x:v>
      </x:c>
      <x:c r="D17" s="10" t="str">
        <x:v>DF,FW</x:v>
      </x:c>
      <x:c r="E17" s="47" t="n">
        <x:v>31</x:v>
      </x:c>
      <x:c r="F17" s="47" t="n">
        <x:v>36</x:v>
      </x:c>
      <x:c r="G17" s="47" t="n">
        <x:v>36</x:v>
      </x:c>
      <x:c r="H17" s="47" t="n">
        <x:v>3173</x:v>
      </x:c>
      <x:c r="I17" s="44" t="n">
        <x:v>35.3</x:v>
      </x:c>
      <x:c r="J17" s="47" t="n">
        <x:v>3</x:v>
      </x:c>
      <x:c r="K17" s="47" t="n">
        <x:v>10</x:v>
      </x:c>
      <x:c r="L17" s="49" t="n">
        <x:v>13</x:v>
      </x:c>
    </x:row>
    <x:row r="18">
      <x:c r="A18" s="39" t="n">
        <x:v>5</x:v>
      </x:c>
      <x:c r="B18" s="33" t="str">
        <x:v>Rob Jones</x:v>
      </x:c>
      <x:c r="C18" s="10" t="str">
        <x:v>eng ENG</x:v>
      </x:c>
      <x:c r="D18" s="10" t="str">
        <x:v>DF</x:v>
      </x:c>
      <x:c r="E18" s="47" t="n">
        <x:v>23</x:v>
      </x:c>
      <x:c r="F18" s="47" t="n">
        <x:v>33</x:v>
      </x:c>
      <x:c r="G18" s="47" t="n">
        <x:v>33</x:v>
      </x:c>
      <x:c r="H18" s="47" t="n">
        <x:v>2868</x:v>
      </x:c>
      <x:c r="I18" s="44" t="n">
        <x:v>31.9</x:v>
      </x:c>
      <x:c r="J18" s="47" t="n">
        <x:v>0</x:v>
      </x:c>
      <x:c r="K18" s="47" t="n">
        <x:v>2</x:v>
      </x:c>
      <x:c r="L18" s="49" t="n">
        <x:v>2</x:v>
      </x:c>
    </x:row>
    <x:row r="19">
      <x:c r="A19" s="39" t="n">
        <x:v>6</x:v>
      </x:c>
      <x:c r="B19" s="33" t="str">
        <x:v>Stan Collymore</x:v>
      </x:c>
      <x:c r="C19" s="10" t="str">
        <x:v>eng ENG</x:v>
      </x:c>
      <x:c r="D19" s="10" t="str">
        <x:v>FW</x:v>
      </x:c>
      <x:c r="E19" s="47" t="n">
        <x:v>24</x:v>
      </x:c>
      <x:c r="F19" s="47" t="n">
        <x:v>31</x:v>
      </x:c>
      <x:c r="G19" s="47" t="n">
        <x:v>30</x:v>
      </x:c>
      <x:c r="H19" s="47" t="n">
        <x:v>2567</x:v>
      </x:c>
      <x:c r="I19" s="44" t="n">
        <x:v>28.5</x:v>
      </x:c>
      <x:c r="J19" s="47" t="n">
        <x:v>14</x:v>
      </x:c>
      <x:c r="K19" s="47" t="n">
        <x:v>11</x:v>
      </x:c>
      <x:c r="L19" s="49" t="n">
        <x:v>25</x:v>
      </x:c>
    </x:row>
    <x:row r="20">
      <x:c r="A20" s="39" t="n">
        <x:v>7</x:v>
      </x:c>
      <x:c r="B20" s="33" t="str">
        <x:v>Phil Babb</x:v>
      </x:c>
      <x:c r="C20" s="10" t="str">
        <x:v>ie IRL</x:v>
      </x:c>
      <x:c r="D20" s="10" t="str">
        <x:v>DF</x:v>
      </x:c>
      <x:c r="E20" s="47" t="n">
        <x:v>24</x:v>
      </x:c>
      <x:c r="F20" s="47" t="n">
        <x:v>28</x:v>
      </x:c>
      <x:c r="G20" s="47" t="n">
        <x:v>28</x:v>
      </x:c>
      <x:c r="H20" s="47" t="n">
        <x:v>2502</x:v>
      </x:c>
      <x:c r="I20" s="44" t="n">
        <x:v>27.8</x:v>
      </x:c>
      <x:c r="J20" s="47" t="n">
        <x:v>0</x:v>
      </x:c>
      <x:c r="K20" s="47" t="n">
        <x:v>0</x:v>
      </x:c>
      <x:c r="L20" s="49" t="n">
        <x:v>0</x:v>
      </x:c>
    </x:row>
    <x:row r="21">
      <x:c r="A21" s="39" t="n">
        <x:v>8</x:v>
      </x:c>
      <x:c r="B21" s="33" t="str">
        <x:v>Mark Wright</x:v>
      </x:c>
      <x:c r="C21" s="10" t="str">
        <x:v>eng ENG</x:v>
      </x:c>
      <x:c r="D21" s="10" t="str">
        <x:v>DF</x:v>
      </x:c>
      <x:c r="E21" s="47" t="n">
        <x:v>31</x:v>
      </x:c>
      <x:c r="F21" s="47" t="n">
        <x:v>28</x:v>
      </x:c>
      <x:c r="G21" s="47" t="n">
        <x:v>28</x:v>
      </x:c>
      <x:c r="H21" s="47" t="n">
        <x:v>2416</x:v>
      </x:c>
      <x:c r="I21" s="44" t="n">
        <x:v>26.8</x:v>
      </x:c>
      <x:c r="J21" s="47" t="n">
        <x:v>2</x:v>
      </x:c>
      <x:c r="K21" s="47" t="n">
        <x:v>1</x:v>
      </x:c>
      <x:c r="L21" s="49" t="n">
        <x:v>3</x:v>
      </x:c>
    </x:row>
    <x:row r="22">
      <x:c r="A22" s="39" t="n">
        <x:v>9</x:v>
      </x:c>
      <x:c r="B22" s="33" t="str">
        <x:v>Jason McAteer</x:v>
      </x:c>
      <x:c r="C22" s="10" t="str">
        <x:v>ie IRL</x:v>
      </x:c>
      <x:c r="D22" s="10" t="str">
        <x:v>MF</x:v>
      </x:c>
      <x:c r="E22" s="47" t="n">
        <x:v>24</x:v>
      </x:c>
      <x:c r="F22" s="47" t="n">
        <x:v>29</x:v>
      </x:c>
      <x:c r="G22" s="47" t="n">
        <x:v>27</x:v>
      </x:c>
      <x:c r="H22" s="47" t="n">
        <x:v>2445</x:v>
      </x:c>
      <x:c r="I22" s="44" t="n">
        <x:v>27.2</x:v>
      </x:c>
      <x:c r="J22" s="47" t="n">
        <x:v>0</x:v>
      </x:c>
      <x:c r="K22" s="47" t="n">
        <x:v>3</x:v>
      </x:c>
      <x:c r="L22" s="49" t="n">
        <x:v>3</x:v>
      </x:c>
    </x:row>
    <x:row r="23">
      <x:c r="A23" s="39" t="n">
        <x:v>10</x:v>
      </x:c>
      <x:c r="B23" s="33" t="str">
        <x:v>John Scales</x:v>
      </x:c>
      <x:c r="C23" s="10" t="str">
        <x:v>eng ENG</x:v>
      </x:c>
      <x:c r="D23" s="10" t="str">
        <x:v>DF</x:v>
      </x:c>
      <x:c r="E23" s="47" t="n">
        <x:v>29</x:v>
      </x:c>
      <x:c r="F23" s="47" t="n">
        <x:v>27</x:v>
      </x:c>
      <x:c r="G23" s="47" t="n">
        <x:v>27</x:v>
      </x:c>
      <x:c r="H23" s="47" t="n">
        <x:v>2404</x:v>
      </x:c>
      <x:c r="I23" s="44" t="n">
        <x:v>26.7</x:v>
      </x:c>
      <x:c r="J23" s="47" t="n">
        <x:v>0</x:v>
      </x:c>
      <x:c r="K23" s="47" t="n">
        <x:v>0</x:v>
      </x:c>
      <x:c r="L23" s="49" t="n">
        <x:v>0</x:v>
      </x:c>
    </x:row>
    <x:row r="24">
      <x:c r="A24" s="39" t="n">
        <x:v>11</x:v>
      </x:c>
      <x:c r="B24" s="33" t="str">
        <x:v>Steve Harkness</x:v>
      </x:c>
      <x:c r="C24" s="10" t="str">
        <x:v>eng ENG</x:v>
      </x:c>
      <x:c r="D24" s="10" t="str">
        <x:v>DF</x:v>
      </x:c>
      <x:c r="E24" s="47" t="n">
        <x:v>23</x:v>
      </x:c>
      <x:c r="F24" s="47" t="n">
        <x:v>24</x:v>
      </x:c>
      <x:c r="G24" s="47" t="n">
        <x:v>23</x:v>
      </x:c>
      <x:c r="H24" s="47" t="n">
        <x:v>2030</x:v>
      </x:c>
      <x:c r="I24" s="44" t="n">
        <x:v>22.6</x:v>
      </x:c>
      <x:c r="J24" s="47" t="n">
        <x:v>1</x:v>
      </x:c>
      <x:c r="K24" s="47" t="n">
        <x:v>0</x:v>
      </x:c>
      <x:c r="L24" s="49" t="n">
        <x:v>1</x:v>
      </x:c>
    </x:row>
    <x:row r="25">
      <x:c r="A25" s="39" t="n">
        <x:v>12</x:v>
      </x:c>
      <x:c r="B25" s="33" t="str">
        <x:v>Jamie Redknapp</x:v>
      </x:c>
      <x:c r="C25" s="10" t="str">
        <x:v>eng ENG</x:v>
      </x:c>
      <x:c r="D25" s="10" t="str">
        <x:v>MF</x:v>
      </x:c>
      <x:c r="E25" s="47" t="n">
        <x:v>22</x:v>
      </x:c>
      <x:c r="F25" s="47" t="n">
        <x:v>23</x:v>
      </x:c>
      <x:c r="G25" s="47" t="n">
        <x:v>19</x:v>
      </x:c>
      <x:c r="H25" s="47" t="n">
        <x:v>1757</x:v>
      </x:c>
      <x:c r="I25" s="44" t="n">
        <x:v>19.5</x:v>
      </x:c>
      <x:c r="J25" s="47" t="n">
        <x:v>3</x:v>
      </x:c>
      <x:c r="K25" s="47" t="n">
        <x:v>3</x:v>
      </x:c>
      <x:c r="L25" s="49" t="n">
        <x:v>6</x:v>
      </x:c>
    </x:row>
    <x:row r="26">
      <x:c r="A26" s="39" t="n">
        <x:v>13</x:v>
      </x:c>
      <x:c r="B26" s="33" t="str">
        <x:v>Michael Thomas</x:v>
      </x:c>
      <x:c r="C26" s="10" t="str">
        <x:v>eng ENG</x:v>
      </x:c>
      <x:c r="D26" s="10" t="str">
        <x:v>MF</x:v>
      </x:c>
      <x:c r="E26" s="47" t="n">
        <x:v>27</x:v>
      </x:c>
      <x:c r="F26" s="47" t="n">
        <x:v>27</x:v>
      </x:c>
      <x:c r="G26" s="47" t="n">
        <x:v>18</x:v>
      </x:c>
      <x:c r="H26" s="47" t="n">
        <x:v>1748</x:v>
      </x:c>
      <x:c r="I26" s="44" t="n">
        <x:v>19.4</x:v>
      </x:c>
      <x:c r="J26" s="47" t="n">
        <x:v>1</x:v>
      </x:c>
      <x:c r="K26" s="47" t="n">
        <x:v>1</x:v>
      </x:c>
      <x:c r="L26" s="49" t="n">
        <x:v>2</x:v>
      </x:c>
    </x:row>
    <x:row r="27">
      <x:c r="A27" s="39" t="n">
        <x:v>14</x:v>
      </x:c>
      <x:c r="B27" s="33" t="str">
        <x:v>Neil Ruddock</x:v>
      </x:c>
      <x:c r="C27" s="10" t="str">
        <x:v>eng ENG</x:v>
      </x:c>
      <x:c r="D27" s="10" t="str">
        <x:v>DF</x:v>
      </x:c>
      <x:c r="E27" s="47" t="n">
        <x:v>27</x:v>
      </x:c>
      <x:c r="F27" s="47" t="n">
        <x:v>20</x:v>
      </x:c>
      <x:c r="G27" s="47" t="n">
        <x:v>18</x:v>
      </x:c>
      <x:c r="H27" s="47" t="n">
        <x:v>1681</x:v>
      </x:c>
      <x:c r="I27" s="44" t="n">
        <x:v>18.7</x:v>
      </x:c>
      <x:c r="J27" s="47" t="n">
        <x:v>5</x:v>
      </x:c>
      <x:c r="K27" s="47" t="n">
        <x:v>0</x:v>
      </x:c>
      <x:c r="L27" s="49" t="n">
        <x:v>5</x:v>
      </x:c>
    </x:row>
    <x:row r="28">
      <x:c r="A28" s="39" t="n">
        <x:v>15</x:v>
      </x:c>
      <x:c r="B28" s="33" t="str">
        <x:v>Ian Rush</x:v>
      </x:c>
      <x:c r="C28" s="10" t="str">
        <x:v>wls WAL</x:v>
      </x:c>
      <x:c r="D28" s="10" t="str">
        <x:v>FW</x:v>
      </x:c>
      <x:c r="E28" s="47" t="n">
        <x:v>33</x:v>
      </x:c>
      <x:c r="F28" s="47" t="n">
        <x:v>20</x:v>
      </x:c>
      <x:c r="G28" s="47" t="n">
        <x:v>10</x:v>
      </x:c>
      <x:c r="H28" s="47" t="n">
        <x:v>1025</x:v>
      </x:c>
      <x:c r="I28" s="44" t="n">
        <x:v>11.4</x:v>
      </x:c>
      <x:c r="J28" s="47" t="n">
        <x:v>5</x:v>
      </x:c>
      <x:c r="K28" s="47" t="n">
        <x:v>2</x:v>
      </x:c>
      <x:c r="L28" s="49" t="n">
        <x:v>7</x:v>
      </x:c>
    </x:row>
    <x:row r="29">
      <x:c r="A29" s="39" t="n">
        <x:v>16</x:v>
      </x:c>
      <x:c r="B29" s="33" t="str">
        <x:v>Dominic Matteo</x:v>
      </x:c>
      <x:c r="C29" s="10" t="str">
        <x:v>sct SCO</x:v>
      </x:c>
      <x:c r="D29" s="10" t="str">
        <x:v>DF,MF</x:v>
      </x:c>
      <x:c r="E29" s="47" t="n">
        <x:v>21</x:v>
      </x:c>
      <x:c r="F29" s="47" t="n">
        <x:v>5</x:v>
      </x:c>
      <x:c r="G29" s="47" t="n">
        <x:v>5</x:v>
      </x:c>
      <x:c r="H29" s="47" t="n">
        <x:v>421</x:v>
      </x:c>
      <x:c r="I29" s="44" t="n">
        <x:v>4.7</x:v>
      </x:c>
      <x:c r="J29" s="47" t="n">
        <x:v>0</x:v>
      </x:c>
      <x:c r="K29" s="47" t="n">
        <x:v>0</x:v>
      </x:c>
      <x:c r="L29" s="49" t="n">
        <x:v>0</x:v>
      </x:c>
    </x:row>
    <x:row r="30">
      <x:c r="A30" s="39" t="n">
        <x:v>17</x:v>
      </x:c>
      <x:c r="B30" s="33" t="str">
        <x:v>Stig Inge Bjørnebye</x:v>
      </x:c>
      <x:c r="C30" s="10" t="str">
        <x:v>no NOR</x:v>
      </x:c>
      <x:c r="D30" s="10" t="str">
        <x:v>DF</x:v>
      </x:c>
      <x:c r="E30" s="47" t="n">
        <x:v>25</x:v>
      </x:c>
      <x:c r="F30" s="47" t="n">
        <x:v>2</x:v>
      </x:c>
      <x:c r="G30" s="47" t="n">
        <x:v>2</x:v>
      </x:c>
      <x:c r="H30" s="47" t="n">
        <x:v>180</x:v>
      </x:c>
      <x:c r="I30" s="44" t="n">
        <x:v>2</x:v>
      </x:c>
      <x:c r="J30" s="47" t="n">
        <x:v>0</x:v>
      </x:c>
      <x:c r="K30" s="47" t="n">
        <x:v>0</x:v>
      </x:c>
      <x:c r="L30" s="49" t="n">
        <x:v>0</x:v>
      </x:c>
    </x:row>
    <x:row r="31">
      <x:c r="A31" s="39" t="n">
        <x:v>18</x:v>
      </x:c>
      <x:c r="B31" s="33" t="str">
        <x:v>Mark Kennedy</x:v>
      </x:c>
      <x:c r="C31" s="10" t="str">
        <x:v>ie IRL</x:v>
      </x:c>
      <x:c r="D31" s="10" t="str">
        <x:v>DF,MF</x:v>
      </x:c>
      <x:c r="E31" s="47" t="n">
        <x:v>19</x:v>
      </x:c>
      <x:c r="F31" s="47" t="n">
        <x:v>4</x:v>
      </x:c>
      <x:c r="G31" s="47" t="n">
        <x:v>1</x:v>
      </x:c>
      <x:c r="H31" s="47" t="n">
        <x:v>183</x:v>
      </x:c>
      <x:c r="I31" s="44" t="n">
        <x:v>2</x:v>
      </x:c>
      <x:c r="J31" s="47" t="n">
        <x:v>0</x:v>
      </x:c>
      <x:c r="K31" s="47" t="n">
        <x:v>0</x:v>
      </x:c>
      <x:c r="L31" s="49" t="n">
        <x:v>0</x:v>
      </x:c>
    </x:row>
    <x:row r="32">
      <x:c r="A32" s="39" t="n">
        <x:v>19</x:v>
      </x:c>
      <x:c r="B32" s="33" t="str">
        <x:v>Nigel Clough</x:v>
      </x:c>
      <x:c r="C32" s="10" t="str">
        <x:v>eng ENG</x:v>
      </x:c>
      <x:c r="D32" s="10" t="str">
        <x:v>FW,MF</x:v>
      </x:c>
      <x:c r="E32" s="47" t="n">
        <x:v>29</x:v>
      </x:c>
      <x:c r="F32" s="47" t="n">
        <x:v>2</x:v>
      </x:c>
      <x:c r="G32" s="47" t="n">
        <x:v>1</x:v>
      </x:c>
      <x:c r="H32" s="47" t="n">
        <x:v>115</x:v>
      </x:c>
      <x:c r="I32" s="44" t="n">
        <x:v>1.3</x:v>
      </x:c>
      <x:c r="J32" s="47" t="n">
        <x:v>0</x:v>
      </x:c>
      <x:c r="K32" s="47" t="n">
        <x:v>0</x:v>
      </x:c>
      <x:c r="L32" s="49" t="n">
        <x:v>0</x:v>
      </x:c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02</x:v>
      </x:c>
      <x:c r="B1" s="4" t="str">
        <x:v>PAGE302 — CLUB DATA COLLECTION — SLOT 02</x:v>
      </x:c>
      <x:c r="C1" s="4" t="str">
        <x:v>PAGE302 — CLUB DATA COLLECTION — SLOT 02</x:v>
      </x:c>
      <x:c r="D1" s="4" t="str">
        <x:v>PAGE302 — CLUB DATA COLLECTION — SLOT 02</x:v>
      </x:c>
      <x:c r="E1" s="4" t="str">
        <x:v>PAGE302 — CLUB DATA COLLECTION — SLOT 02</x:v>
      </x:c>
      <x:c r="F1" s="4" t="str">
        <x:v>PAGE302 — CLUB DATA COLLECTION — SLOT 02</x:v>
      </x:c>
      <x:c r="G1" s="4" t="str">
        <x:v>PAGE302 — CLUB DATA COLLECTION — SLOT 02</x:v>
      </x:c>
      <x:c r="H1" s="4" t="str">
        <x:v>PAGE302 — CLUB DATA COLLECTION — SLOT 02</x:v>
      </x:c>
      <x:c r="I1" s="4" t="str">
        <x:v>PAGE302 — CLUB DATA COLLECTION — SLOT 02</x:v>
      </x:c>
      <x:c r="J1" s="4" t="str">
        <x:v>PAGE302 — CLUB DATA COLLECTION — SLOT 02</x:v>
      </x:c>
      <x:c r="K1" s="4" t="str">
        <x:v>PAGE302 — CLUB DATA COLLECTION — SLOT 02</x:v>
      </x:c>
      <x:c r="L1" s="4" t="str">
        <x:v>PAGE302 — CLUB DATA COLLECTION — SLOT 02</x:v>
      </x:c>
    </x:row>
    <x:row r="3">
      <x:c r="A3" s="12" t="str">
        <x:v>TEAM CODE:</x:v>
      </x:c>
      <x:c r="B3" s="23" t="str">
        <x:f>IF('Pack Planner'!$E$12="","",'Pack Planner'!$E$12)</x:f>
        <x:v>MUN0708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Planner'!$C$12="","",'Pack Planner'!$C$12)</x:f>
        <x:v>Man Utd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Planner'!$D$12="","",'Pack Planner'!$D$12)</x:f>
        <x:v>2007-08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Planner'!$B$12</x:f>
        <x:v>Sky 6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 t="str">
        <x:v>https://fbref.com/en/squads/19538871/2007-2008/Manchester-United-Stats</x:v>
      </x:c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 t="str">
        <x:v>Alex Ferguson</x:v>
      </x:c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 t="n">
        <x:v>38</x:v>
      </x:c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 t="str">
        <x:v>Rio Ferdinand</x:v>
      </x:c>
      <x:c r="C14" s="31" t="str">
        <x:v>eng ENG</x:v>
      </x:c>
      <x:c r="D14" s="31" t="str">
        <x:v>DF</x:v>
      </x:c>
      <x:c r="E14" s="31" t="n">
        <x:v>28</x:v>
      </x:c>
      <x:c r="F14" s="31" t="n">
        <x:v>35</x:v>
      </x:c>
      <x:c r="G14" s="31" t="n">
        <x:v>35</x:v>
      </x:c>
      <x:c r="H14" s="31" t="n">
        <x:v>3045</x:v>
      </x:c>
      <x:c r="I14" s="31" t="n">
        <x:v>33.8</x:v>
      </x:c>
      <x:c r="J14" s="31" t="n">
        <x:v>2</x:v>
      </x:c>
      <x:c r="K14" s="31" t="n">
        <x:v>1</x:v>
      </x:c>
      <x:c r="L14" s="32" t="n">
        <x:v>3</x:v>
      </x:c>
    </x:row>
    <x:row r="15">
      <x:c r="A15" s="39" t="n">
        <x:v>2</x:v>
      </x:c>
      <x:c r="B15" s="33" t="str">
        <x:v>Wes Brown</x:v>
      </x:c>
      <x:c r="C15" s="10" t="str">
        <x:v>eng ENG</x:v>
      </x:c>
      <x:c r="D15" s="10" t="str">
        <x:v>DF</x:v>
      </x:c>
      <x:c r="E15" s="10" t="n">
        <x:v>27</x:v>
      </x:c>
      <x:c r="F15" s="10" t="n">
        <x:v>36</x:v>
      </x:c>
      <x:c r="G15" s="10" t="n">
        <x:v>34</x:v>
      </x:c>
      <x:c r="H15" s="10" t="n">
        <x:v>3030</x:v>
      </x:c>
      <x:c r="I15" s="10" t="n">
        <x:v>33.7</x:v>
      </x:c>
      <x:c r="J15" s="10" t="n">
        <x:v>1</x:v>
      </x:c>
      <x:c r="K15" s="10" t="n">
        <x:v>2</x:v>
      </x:c>
      <x:c r="L15" s="34" t="n">
        <x:v>3</x:v>
      </x:c>
    </x:row>
    <x:row r="16">
      <x:c r="A16" s="39" t="n">
        <x:v>3</x:v>
      </x:c>
      <x:c r="B16" s="33" t="str">
        <x:v>Patrice Evra</x:v>
      </x:c>
      <x:c r="C16" s="10" t="str">
        <x:v>fr FRA</x:v>
      </x:c>
      <x:c r="D16" s="10" t="str">
        <x:v>DF</x:v>
      </x:c>
      <x:c r="E16" s="10" t="n">
        <x:v>26</x:v>
      </x:c>
      <x:c r="F16" s="10" t="n">
        <x:v>33</x:v>
      </x:c>
      <x:c r="G16" s="10" t="n">
        <x:v>33</x:v>
      </x:c>
      <x:c r="H16" s="10" t="n">
        <x:v>2820</x:v>
      </x:c>
      <x:c r="I16" s="10" t="n">
        <x:v>31.3</x:v>
      </x:c>
      <x:c r="J16" s="10" t="n">
        <x:v>0</x:v>
      </x:c>
      <x:c r="K16" s="10" t="n">
        <x:v>1</x:v>
      </x:c>
      <x:c r="L16" s="34" t="n">
        <x:v>1</x:v>
      </x:c>
    </x:row>
    <x:row r="17">
      <x:c r="A17" s="39" t="n">
        <x:v>4</x:v>
      </x:c>
      <x:c r="B17" s="33" t="str">
        <x:v>Nemanja Vidić</x:v>
      </x:c>
      <x:c r="C17" s="10" t="str">
        <x:v>rs SRB</x:v>
      </x:c>
      <x:c r="D17" s="10" t="str">
        <x:v>DF</x:v>
      </x:c>
      <x:c r="E17" s="10" t="n">
        <x:v>25</x:v>
      </x:c>
      <x:c r="F17" s="10" t="n">
        <x:v>32</x:v>
      </x:c>
      <x:c r="G17" s="10" t="n">
        <x:v>32</x:v>
      </x:c>
      <x:c r="H17" s="10" t="n">
        <x:v>2665</x:v>
      </x:c>
      <x:c r="I17" s="10" t="n">
        <x:v>29.6</x:v>
      </x:c>
      <x:c r="J17" s="10" t="n">
        <x:v>1</x:v>
      </x:c>
      <x:c r="K17" s="10" t="n">
        <x:v>1</x:v>
      </x:c>
      <x:c r="L17" s="34" t="n">
        <x:v>2</x:v>
      </x:c>
    </x:row>
    <x:row r="18">
      <x:c r="A18" s="39" t="n">
        <x:v>5</x:v>
      </x:c>
      <x:c r="B18" s="33" t="str">
        <x:v>Cristiano Ronaldo</x:v>
      </x:c>
      <x:c r="C18" s="10" t="str">
        <x:v>pt POR</x:v>
      </x:c>
      <x:c r="D18" s="10" t="str">
        <x:v>FW,MF</x:v>
      </x:c>
      <x:c r="E18" s="10" t="n">
        <x:v>22</x:v>
      </x:c>
      <x:c r="F18" s="10" t="n">
        <x:v>34</x:v>
      </x:c>
      <x:c r="G18" s="10" t="n">
        <x:v>31</x:v>
      </x:c>
      <x:c r="H18" s="10" t="n">
        <x:v>2747</x:v>
      </x:c>
      <x:c r="I18" s="10" t="n">
        <x:v>30.5</x:v>
      </x:c>
      <x:c r="J18" s="10" t="n">
        <x:v>31</x:v>
      </x:c>
      <x:c r="K18" s="10" t="n">
        <x:v>6</x:v>
      </x:c>
      <x:c r="L18" s="34" t="n">
        <x:v>37</x:v>
      </x:c>
    </x:row>
    <x:row r="19">
      <x:c r="A19" s="39" t="n">
        <x:v>6</x:v>
      </x:c>
      <x:c r="B19" s="33" t="str">
        <x:v>Carlos Tevez</x:v>
      </x:c>
      <x:c r="C19" s="10" t="str">
        <x:v>ar ARG</x:v>
      </x:c>
      <x:c r="D19" s="10" t="str">
        <x:v>FW,MF</x:v>
      </x:c>
      <x:c r="E19" s="10" t="n">
        <x:v>23</x:v>
      </x:c>
      <x:c r="F19" s="10" t="n">
        <x:v>34</x:v>
      </x:c>
      <x:c r="G19" s="10" t="n">
        <x:v>31</x:v>
      </x:c>
      <x:c r="H19" s="10" t="n">
        <x:v>2677</x:v>
      </x:c>
      <x:c r="I19" s="10" t="n">
        <x:v>29.7</x:v>
      </x:c>
      <x:c r="J19" s="10" t="n">
        <x:v>14</x:v>
      </x:c>
      <x:c r="K19" s="10" t="n">
        <x:v>6</x:v>
      </x:c>
      <x:c r="L19" s="34" t="n">
        <x:v>20</x:v>
      </x:c>
    </x:row>
    <x:row r="20">
      <x:c r="A20" s="39" t="n">
        <x:v>7</x:v>
      </x:c>
      <x:c r="B20" s="33" t="str">
        <x:v>Edwin van der Sar</x:v>
      </x:c>
      <x:c r="C20" s="10" t="str">
        <x:v>nl NED</x:v>
      </x:c>
      <x:c r="D20" s="10" t="str">
        <x:v>GK</x:v>
      </x:c>
      <x:c r="E20" s="10" t="n">
        <x:v>36</x:v>
      </x:c>
      <x:c r="F20" s="10" t="n">
        <x:v>29</x:v>
      </x:c>
      <x:c r="G20" s="10" t="n">
        <x:v>29</x:v>
      </x:c>
      <x:c r="H20" s="10" t="n">
        <x:v>2565</x:v>
      </x:c>
      <x:c r="I20" s="10" t="n">
        <x:v>28.5</x:v>
      </x:c>
      <x:c r="J20" s="10" t="n">
        <x:v>0</x:v>
      </x:c>
      <x:c r="K20" s="10" t="n">
        <x:v>0</x:v>
      </x:c>
      <x:c r="L20" s="34" t="n">
        <x:v>0</x:v>
      </x:c>
    </x:row>
    <x:row r="21">
      <x:c r="A21" s="39" t="n">
        <x:v>8</x:v>
      </x:c>
      <x:c r="B21" s="33" t="str">
        <x:v>Ryan Giggs</x:v>
      </x:c>
      <x:c r="C21" s="10" t="str">
        <x:v>wls WAL</x:v>
      </x:c>
      <x:c r="D21" s="10" t="str">
        <x:v>FW,MF</x:v>
      </x:c>
      <x:c r="E21" s="10" t="n">
        <x:v>33</x:v>
      </x:c>
      <x:c r="F21" s="10" t="n">
        <x:v>31</x:v>
      </x:c>
      <x:c r="G21" s="10" t="n">
        <x:v>26</x:v>
      </x:c>
      <x:c r="H21" s="10" t="n">
        <x:v>2233</x:v>
      </x:c>
      <x:c r="I21" s="10" t="n">
        <x:v>24.8</x:v>
      </x:c>
      <x:c r="J21" s="10" t="n">
        <x:v>3</x:v>
      </x:c>
      <x:c r="K21" s="10" t="n">
        <x:v>4</x:v>
      </x:c>
      <x:c r="L21" s="34" t="n">
        <x:v>7</x:v>
      </x:c>
    </x:row>
    <x:row r="22">
      <x:c r="A22" s="39" t="n">
        <x:v>9</x:v>
      </x:c>
      <x:c r="B22" s="33" t="str">
        <x:v>Wayne Rooney</x:v>
      </x:c>
      <x:c r="C22" s="10" t="str">
        <x:v>eng ENG</x:v>
      </x:c>
      <x:c r="D22" s="10" t="str">
        <x:v>FW,MF</x:v>
      </x:c>
      <x:c r="E22" s="10" t="n">
        <x:v>21</x:v>
      </x:c>
      <x:c r="F22" s="10" t="n">
        <x:v>27</x:v>
      </x:c>
      <x:c r="G22" s="10" t="n">
        <x:v>25</x:v>
      </x:c>
      <x:c r="H22" s="10" t="n">
        <x:v>2181</x:v>
      </x:c>
      <x:c r="I22" s="10" t="n">
        <x:v>24.2</x:v>
      </x:c>
      <x:c r="J22" s="10" t="n">
        <x:v>12</x:v>
      </x:c>
      <x:c r="K22" s="10" t="n">
        <x:v>9</x:v>
      </x:c>
      <x:c r="L22" s="34" t="n">
        <x:v>21</x:v>
      </x:c>
    </x:row>
    <x:row r="23">
      <x:c r="A23" s="39" t="n">
        <x:v>10</x:v>
      </x:c>
      <x:c r="B23" s="33" t="str">
        <x:v>Michael Carrick</x:v>
      </x:c>
      <x:c r="C23" s="10" t="str">
        <x:v>eng ENG</x:v>
      </x:c>
      <x:c r="D23" s="10" t="str">
        <x:v>MF</x:v>
      </x:c>
      <x:c r="E23" s="10" t="n">
        <x:v>26</x:v>
      </x:c>
      <x:c r="F23" s="10" t="n">
        <x:v>31</x:v>
      </x:c>
      <x:c r="G23" s="10" t="n">
        <x:v>24</x:v>
      </x:c>
      <x:c r="H23" s="10" t="n">
        <x:v>2203</x:v>
      </x:c>
      <x:c r="I23" s="10" t="n">
        <x:v>24.5</x:v>
      </x:c>
      <x:c r="J23" s="10" t="n">
        <x:v>2</x:v>
      </x:c>
      <x:c r="K23" s="10" t="n">
        <x:v>2</x:v>
      </x:c>
      <x:c r="L23" s="34" t="n">
        <x:v>4</x:v>
      </x:c>
    </x:row>
    <x:row r="24">
      <x:c r="A24" s="39" t="n">
        <x:v>11</x:v>
      </x:c>
      <x:c r="B24" s="33" t="str">
        <x:v>Paul Scholes</x:v>
      </x:c>
      <x:c r="C24" s="10" t="str">
        <x:v>eng ENG</x:v>
      </x:c>
      <x:c r="D24" s="10" t="str">
        <x:v>MF</x:v>
      </x:c>
      <x:c r="E24" s="10" t="n">
        <x:v>32</x:v>
      </x:c>
      <x:c r="F24" s="10" t="n">
        <x:v>24</x:v>
      </x:c>
      <x:c r="G24" s="10" t="n">
        <x:v>22</x:v>
      </x:c>
      <x:c r="H24" s="10" t="n">
        <x:v>1836</x:v>
      </x:c>
      <x:c r="I24" s="10" t="n">
        <x:v>20.4</x:v>
      </x:c>
      <x:c r="J24" s="10" t="n">
        <x:v>1</x:v>
      </x:c>
      <x:c r="K24" s="10" t="n">
        <x:v>4</x:v>
      </x:c>
      <x:c r="L24" s="34" t="n">
        <x:v>5</x:v>
      </x:c>
    </x:row>
    <x:row r="25">
      <x:c r="A25" s="39" t="n">
        <x:v>12</x:v>
      </x:c>
      <x:c r="B25" s="33" t="str">
        <x:v>Nani</x:v>
      </x:c>
      <x:c r="C25" s="10" t="str">
        <x:v>pt POR</x:v>
      </x:c>
      <x:c r="D25" s="10" t="str">
        <x:v>FW,MF</x:v>
      </x:c>
      <x:c r="E25" s="10" t="n">
        <x:v>20</x:v>
      </x:c>
      <x:c r="F25" s="10" t="n">
        <x:v>26</x:v>
      </x:c>
      <x:c r="G25" s="10" t="n">
        <x:v>16</x:v>
      </x:c>
      <x:c r="H25" s="10" t="n">
        <x:v>1573</x:v>
      </x:c>
      <x:c r="I25" s="10" t="n">
        <x:v>17.5</x:v>
      </x:c>
      <x:c r="J25" s="10" t="n">
        <x:v>3</x:v>
      </x:c>
      <x:c r="K25" s="10" t="n">
        <x:v>9</x:v>
      </x:c>
      <x:c r="L25" s="34" t="n">
        <x:v>12</x:v>
      </x:c>
    </x:row>
    <x:row r="26">
      <x:c r="A26" s="39" t="n">
        <x:v>13</x:v>
      </x:c>
      <x:c r="B26" s="33" t="str">
        <x:v>Owen Hargreaves</x:v>
      </x:c>
      <x:c r="C26" s="10" t="str">
        <x:v>eng ENG</x:v>
      </x:c>
      <x:c r="D26" s="10" t="str">
        <x:v>MF</x:v>
      </x:c>
      <x:c r="E26" s="10" t="n">
        <x:v>26</x:v>
      </x:c>
      <x:c r="F26" s="10" t="n">
        <x:v>23</x:v>
      </x:c>
      <x:c r="G26" s="10" t="n">
        <x:v>16</x:v>
      </x:c>
      <x:c r="H26" s="10" t="n">
        <x:v>1528</x:v>
      </x:c>
      <x:c r="I26" s="10" t="n">
        <x:v>17</x:v>
      </x:c>
      <x:c r="J26" s="10" t="n">
        <x:v>2</x:v>
      </x:c>
      <x:c r="K26" s="10" t="n">
        <x:v>2</x:v>
      </x:c>
      <x:c r="L26" s="34" t="n">
        <x:v>4</x:v>
      </x:c>
    </x:row>
    <x:row r="27">
      <x:c r="A27" s="39" t="n">
        <x:v>14</x:v>
      </x:c>
      <x:c r="B27" s="33" t="str">
        <x:v>Anderson</x:v>
      </x:c>
      <x:c r="C27" s="10" t="str">
        <x:v>br BRA</x:v>
      </x:c>
      <x:c r="D27" s="10" t="str">
        <x:v>MF</x:v>
      </x:c>
      <x:c r="E27" s="10" t="n">
        <x:v>19</x:v>
      </x:c>
      <x:c r="F27" s="10" t="n">
        <x:v>24</x:v>
      </x:c>
      <x:c r="G27" s="10" t="n">
        <x:v>16</x:v>
      </x:c>
      <x:c r="H27" s="10" t="n">
        <x:v>1484</x:v>
      </x:c>
      <x:c r="I27" s="10" t="n">
        <x:v>16.5</x:v>
      </x:c>
      <x:c r="J27" s="10" t="n">
        <x:v>0</x:v>
      </x:c>
      <x:c r="K27" s="10" t="n">
        <x:v>0</x:v>
      </x:c>
      <x:c r="L27" s="34" t="n">
        <x:v>0</x:v>
      </x:c>
    </x:row>
    <x:row r="28">
      <x:c r="A28" s="39" t="n">
        <x:v>15</x:v>
      </x:c>
      <x:c r="B28" s="33" t="str">
        <x:v>John O'Shea</x:v>
      </x:c>
      <x:c r="C28" s="10" t="str">
        <x:v>ie IRL</x:v>
      </x:c>
      <x:c r="D28" s="10" t="str">
        <x:v>DF,MF</x:v>
      </x:c>
      <x:c r="E28" s="10" t="n">
        <x:v>26</x:v>
      </x:c>
      <x:c r="F28" s="10" t="n">
        <x:v>28</x:v>
      </x:c>
      <x:c r="G28" s="10" t="n">
        <x:v>10</x:v>
      </x:c>
      <x:c r="H28" s="10" t="n">
        <x:v>1147</x:v>
      </x:c>
      <x:c r="I28" s="10" t="n">
        <x:v>12.7</x:v>
      </x:c>
      <x:c r="J28" s="10" t="n">
        <x:v>0</x:v>
      </x:c>
      <x:c r="K28" s="10" t="n">
        <x:v>1</x:v>
      </x:c>
      <x:c r="L28" s="34" t="n">
        <x:v>1</x:v>
      </x:c>
    </x:row>
    <x:row r="29">
      <x:c r="A29" s="39" t="n">
        <x:v>16</x:v>
      </x:c>
      <x:c r="B29" s="33" t="str">
        <x:v>Tomasz Kuszczak</x:v>
      </x:c>
      <x:c r="C29" s="10" t="str">
        <x:v>pl POL</x:v>
      </x:c>
      <x:c r="D29" s="10" t="str">
        <x:v>GK</x:v>
      </x:c>
      <x:c r="E29" s="10" t="n">
        <x:v>25</x:v>
      </x:c>
      <x:c r="F29" s="10" t="n">
        <x:v>9</x:v>
      </x:c>
      <x:c r="G29" s="10" t="n">
        <x:v>8</x:v>
      </x:c>
      <x:c r="H29" s="10" t="n">
        <x:v>765</x:v>
      </x:c>
      <x:c r="I29" s="10" t="n">
        <x:v>8.5</x:v>
      </x:c>
      <x:c r="J29" s="10" t="n">
        <x:v>0</x:v>
      </x:c>
      <x:c r="K29" s="10" t="n">
        <x:v>0</x:v>
      </x:c>
      <x:c r="L29" s="34" t="n">
        <x:v>0</x:v>
      </x:c>
    </x:row>
    <x:row r="30">
      <x:c r="A30" s="39" t="n">
        <x:v>17</x:v>
      </x:c>
      <x:c r="B30" s="33" t="str">
        <x:v>Park Ji-sung</x:v>
      </x:c>
      <x:c r="C30" s="10" t="str">
        <x:v>kr KOR</x:v>
      </x:c>
      <x:c r="D30" s="10" t="str">
        <x:v>MF</x:v>
      </x:c>
      <x:c r="E30" s="10" t="n">
        <x:v>26</x:v>
      </x:c>
      <x:c r="F30" s="10" t="n">
        <x:v>12</x:v>
      </x:c>
      <x:c r="G30" s="10" t="n">
        <x:v>8</x:v>
      </x:c>
      <x:c r="H30" s="10" t="n">
        <x:v>631</x:v>
      </x:c>
      <x:c r="I30" s="10" t="n">
        <x:v>7</x:v>
      </x:c>
      <x:c r="J30" s="10" t="n">
        <x:v>1</x:v>
      </x:c>
      <x:c r="K30" s="10" t="n">
        <x:v>1</x:v>
      </x:c>
      <x:c r="L30" s="34" t="n">
        <x:v>2</x:v>
      </x:c>
    </x:row>
    <x:row r="31">
      <x:c r="A31" s="39" t="n">
        <x:v>18</x:v>
      </x:c>
      <x:c r="B31" s="33" t="str">
        <x:v>Louis Saha</x:v>
      </x:c>
      <x:c r="C31" s="10" t="str">
        <x:v>fr FRA</x:v>
      </x:c>
      <x:c r="D31" s="10" t="str">
        <x:v>FW</x:v>
      </x:c>
      <x:c r="E31" s="10" t="n">
        <x:v>28</x:v>
      </x:c>
      <x:c r="F31" s="10" t="n">
        <x:v>17</x:v>
      </x:c>
      <x:c r="G31" s="10" t="n">
        <x:v>6</x:v>
      </x:c>
      <x:c r="H31" s="10" t="n">
        <x:v>741</x:v>
      </x:c>
      <x:c r="I31" s="10" t="n">
        <x:v>8.2</x:v>
      </x:c>
      <x:c r="J31" s="10" t="n">
        <x:v>5</x:v>
      </x:c>
      <x:c r="K31" s="10" t="n">
        <x:v>0</x:v>
      </x:c>
      <x:c r="L31" s="34" t="n">
        <x:v>5</x:v>
      </x:c>
    </x:row>
    <x:row r="32">
      <x:c r="A32" s="39" t="n">
        <x:v>19</x:v>
      </x:c>
      <x:c r="B32" s="33" t="str">
        <x:v>Darren Fletcher</x:v>
      </x:c>
      <x:c r="C32" s="10" t="str">
        <x:v>sct SCO</x:v>
      </x:c>
      <x:c r="D32" s="10" t="str">
        <x:v>MF</x:v>
      </x:c>
      <x:c r="E32" s="10" t="n">
        <x:v>23</x:v>
      </x:c>
      <x:c r="F32" s="10" t="n">
        <x:v>16</x:v>
      </x:c>
      <x:c r="G32" s="10" t="n">
        <x:v>5</x:v>
      </x:c>
      <x:c r="H32" s="10" t="n">
        <x:v>653</x:v>
      </x:c>
      <x:c r="I32" s="10" t="n">
        <x:v>7.3</x:v>
      </x:c>
      <x:c r="J32" s="10" t="n">
        <x:v>0</x:v>
      </x:c>
      <x:c r="K32" s="10" t="n">
        <x:v>2</x:v>
      </x:c>
      <x:c r="L32" s="34" t="n">
        <x:v>2</x:v>
      </x:c>
    </x:row>
    <x:row r="33">
      <x:c r="A33" s="39" t="n">
        <x:v>20</x:v>
      </x:c>
      <x:c r="B33" s="33" t="str">
        <x:v>Gerard Piqué</x:v>
      </x:c>
      <x:c r="C33" s="10" t="str">
        <x:v>es ESP</x:v>
      </x:c>
      <x:c r="D33" s="10" t="str">
        <x:v>DF</x:v>
      </x:c>
      <x:c r="E33" s="10" t="n">
        <x:v>20</x:v>
      </x:c>
      <x:c r="F33" s="10" t="n">
        <x:v>9</x:v>
      </x:c>
      <x:c r="G33" s="10" t="n">
        <x:v>5</x:v>
      </x:c>
      <x:c r="H33" s="10" t="n">
        <x:v>482</x:v>
      </x:c>
      <x:c r="I33" s="10" t="n">
        <x:v>5.4</x:v>
      </x:c>
      <x:c r="J33" s="10" t="n">
        <x:v>0</x:v>
      </x:c>
      <x:c r="K33" s="10" t="n">
        <x:v>0</x:v>
      </x:c>
      <x:c r="L33" s="34" t="n">
        <x:v>0</x:v>
      </x:c>
    </x:row>
    <x:row r="34">
      <x:c r="A34" s="39" t="n">
        <x:v>21</x:v>
      </x:c>
      <x:c r="B34" s="33" t="str">
        <x:v>Mikaël Silvestre</x:v>
      </x:c>
      <x:c r="C34" s="10" t="str">
        <x:v>fr FRA</x:v>
      </x:c>
      <x:c r="D34" s="10" t="str">
        <x:v>DF</x:v>
      </x:c>
      <x:c r="E34" s="10" t="n">
        <x:v>29</x:v>
      </x:c>
      <x:c r="F34" s="10" t="n">
        <x:v>3</x:v>
      </x:c>
      <x:c r="G34" s="10" t="n">
        <x:v>3</x:v>
      </x:c>
      <x:c r="H34" s="10" t="n">
        <x:v>186</x:v>
      </x:c>
      <x:c r="I34" s="10" t="n">
        <x:v>2.1</x:v>
      </x:c>
      <x:c r="J34" s="10" t="n">
        <x:v>0</x:v>
      </x:c>
      <x:c r="K34" s="10" t="n">
        <x:v>0</x:v>
      </x:c>
      <x:c r="L34" s="34" t="n">
        <x:v>0</x:v>
      </x:c>
    </x:row>
    <x:row r="35">
      <x:c r="A35" s="39" t="n">
        <x:v>22</x:v>
      </x:c>
      <x:c r="B35" s="33" t="str">
        <x:v>Chris Eagles</x:v>
      </x:c>
      <x:c r="C35" s="10" t="str">
        <x:v>eng ENG</x:v>
      </x:c>
      <x:c r="D35" s="10" t="str">
        <x:v>MF</x:v>
      </x:c>
      <x:c r="E35" s="10" t="n">
        <x:v>21</x:v>
      </x:c>
      <x:c r="F35" s="10" t="n">
        <x:v>4</x:v>
      </x:c>
      <x:c r="G35" s="10" t="n">
        <x:v>1</x:v>
      </x:c>
      <x:c r="H35" s="10" t="n">
        <x:v>133</x:v>
      </x:c>
      <x:c r="I35" s="10" t="n">
        <x:v>1.5</x:v>
      </x:c>
      <x:c r="J35" s="10" t="n">
        <x:v>0</x:v>
      </x:c>
      <x:c r="K35" s="10" t="n">
        <x:v>0</x:v>
      </x:c>
      <x:c r="L35" s="34" t="n">
        <x:v>0</x:v>
      </x:c>
    </x:row>
    <x:row r="36">
      <x:c r="A36" s="39" t="n">
        <x:v>23</x:v>
      </x:c>
      <x:c r="B36" s="33" t="str">
        <x:v>Danny Simpson</x:v>
      </x:c>
      <x:c r="C36" s="10" t="str">
        <x:v>eng ENG</x:v>
      </x:c>
      <x:c r="D36" s="10" t="str">
        <x:v>DF</x:v>
      </x:c>
      <x:c r="E36" s="10" t="n">
        <x:v>20</x:v>
      </x:c>
      <x:c r="F36" s="10" t="n">
        <x:v>3</x:v>
      </x:c>
      <x:c r="G36" s="10" t="n">
        <x:v>1</x:v>
      </x:c>
      <x:c r="H36" s="10" t="n">
        <x:v>130</x:v>
      </x:c>
      <x:c r="I36" s="10" t="n">
        <x:v>1.4</x:v>
      </x:c>
      <x:c r="J36" s="10" t="n">
        <x:v>0</x:v>
      </x:c>
      <x:c r="K36" s="10" t="n">
        <x:v>0</x:v>
      </x:c>
      <x:c r="L36" s="34" t="n">
        <x:v>0</x:v>
      </x:c>
    </x:row>
    <x:row r="37">
      <x:c r="A37" s="39" t="n">
        <x:v>24</x:v>
      </x:c>
      <x:c r="B37" s="33" t="str">
        <x:v>Ben Foster</x:v>
      </x:c>
      <x:c r="C37" s="10" t="str">
        <x:v>eng ENG</x:v>
      </x:c>
      <x:c r="D37" s="10" t="str">
        <x:v>GK</x:v>
      </x:c>
      <x:c r="E37" s="10" t="n">
        <x:v>24</x:v>
      </x:c>
      <x:c r="F37" s="10" t="n">
        <x:v>1</x:v>
      </x:c>
      <x:c r="G37" s="10" t="n">
        <x:v>1</x:v>
      </x:c>
      <x:c r="H37" s="10" t="n">
        <x:v>90</x:v>
      </x:c>
      <x:c r="I37" s="10" t="n">
        <x:v>1</x:v>
      </x:c>
      <x:c r="J37" s="10" t="n">
        <x:v>0</x:v>
      </x:c>
      <x:c r="K37" s="10" t="n">
        <x:v>0</x:v>
      </x:c>
      <x:c r="L37" s="34" t="n">
        <x:v>0</x:v>
      </x:c>
    </x:row>
    <x:row r="38">
      <x:c r="A38" s="39" t="n">
        <x:v>25</x:v>
      </x:c>
      <x:c r="B38" s="33" t="str">
        <x:v>Fraizer Campbell</x:v>
      </x:c>
      <x:c r="C38" s="10" t="str">
        <x:v>eng ENG</x:v>
      </x:c>
      <x:c r="D38" s="10" t="str">
        <x:v>FW</x:v>
      </x:c>
      <x:c r="E38" s="10" t="n">
        <x:v>19</x:v>
      </x:c>
      <x:c r="F38" s="10" t="n">
        <x:v>1</x:v>
      </x:c>
      <x:c r="G38" s="10" t="n">
        <x:v>0</x:v>
      </x:c>
      <x:c r="H38" s="10" t="n">
        <x:v>18</x:v>
      </x:c>
      <x:c r="I38" s="10" t="n">
        <x:v>0.2</x:v>
      </x:c>
      <x:c r="J38" s="10" t="n">
        <x:v>0</x:v>
      </x:c>
      <x:c r="K38" s="10" t="n">
        <x:v>0</x:v>
      </x:c>
      <x:c r="L38" s="34" t="n">
        <x:v>0</x:v>
      </x:c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03</x:v>
      </x:c>
      <x:c r="B1" s="4" t="str">
        <x:v>PAGE302 — CLUB DATA COLLECTION — SLOT 03</x:v>
      </x:c>
      <x:c r="C1" s="4" t="str">
        <x:v>PAGE302 — CLUB DATA COLLECTION — SLOT 03</x:v>
      </x:c>
      <x:c r="D1" s="4" t="str">
        <x:v>PAGE302 — CLUB DATA COLLECTION — SLOT 03</x:v>
      </x:c>
      <x:c r="E1" s="4" t="str">
        <x:v>PAGE302 — CLUB DATA COLLECTION — SLOT 03</x:v>
      </x:c>
      <x:c r="F1" s="4" t="str">
        <x:v>PAGE302 — CLUB DATA COLLECTION — SLOT 03</x:v>
      </x:c>
      <x:c r="G1" s="4" t="str">
        <x:v>PAGE302 — CLUB DATA COLLECTION — SLOT 03</x:v>
      </x:c>
      <x:c r="H1" s="4" t="str">
        <x:v>PAGE302 — CLUB DATA COLLECTION — SLOT 03</x:v>
      </x:c>
      <x:c r="I1" s="4" t="str">
        <x:v>PAGE302 — CLUB DATA COLLECTION — SLOT 03</x:v>
      </x:c>
      <x:c r="J1" s="4" t="str">
        <x:v>PAGE302 — CLUB DATA COLLECTION — SLOT 03</x:v>
      </x:c>
      <x:c r="K1" s="4" t="str">
        <x:v>PAGE302 — CLUB DATA COLLECTION — SLOT 03</x:v>
      </x:c>
      <x:c r="L1" s="4" t="str">
        <x:v>PAGE302 — CLUB DATA COLLECTION — SLOT 03</x:v>
      </x:c>
    </x:row>
    <x:row r="3">
      <x:c r="A3" s="12" t="str">
        <x:v>TEAM CODE:</x:v>
      </x:c>
      <x:c r="B3" s="23" t="str">
        <x:f>IF('Pack Planner'!$E$13="","",'Pack Planner'!$E$13)</x:f>
        <x:v>ARS2324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Planner'!$C$13="","",'Pack Planner'!$C$13)</x:f>
        <x:v>Arsenal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Planner'!$D$13="","",'Pack Planner'!$D$13)</x:f>
        <x:v>2023-24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Planner'!$B$13</x:f>
        <x:v>Sky 6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 t="str">
        <x:v>https://fbref.com/en/squads/18bb7c10/2023-2024/Arsenal-Stats</x:v>
      </x:c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 t="str">
        <x:v>Mikel Arteta</x:v>
      </x:c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 t="n">
        <x:v>38</x:v>
      </x:c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 t="str">
        <x:v>William Saliba</x:v>
      </x:c>
      <x:c r="C14" s="31" t="str">
        <x:v>fr FRA</x:v>
      </x:c>
      <x:c r="D14" s="31" t="str">
        <x:v>DF</x:v>
      </x:c>
      <x:c r="E14" s="31" t="n">
        <x:v>22</x:v>
      </x:c>
      <x:c r="F14" s="31" t="n">
        <x:v>38</x:v>
      </x:c>
      <x:c r="G14" s="31" t="n">
        <x:v>38</x:v>
      </x:c>
      <x:c r="H14" s="31" t="n">
        <x:v>3420</x:v>
      </x:c>
      <x:c r="I14" s="31" t="n">
        <x:v>38</x:v>
      </x:c>
      <x:c r="J14" s="31" t="n">
        <x:v>2</x:v>
      </x:c>
      <x:c r="K14" s="31" t="n">
        <x:v>1</x:v>
      </x:c>
      <x:c r="L14" s="32" t="n">
        <x:v>3</x:v>
      </x:c>
    </x:row>
    <x:row r="15">
      <x:c r="A15" s="39" t="n">
        <x:v>2</x:v>
      </x:c>
      <x:c r="B15" s="33" t="str">
        <x:v>Declan Rice</x:v>
      </x:c>
      <x:c r="C15" s="10" t="str">
        <x:v>eng ENG</x:v>
      </x:c>
      <x:c r="D15" s="10" t="str">
        <x:v>MF</x:v>
      </x:c>
      <x:c r="E15" s="10" t="n">
        <x:v>24</x:v>
      </x:c>
      <x:c r="F15" s="10" t="n">
        <x:v>38</x:v>
      </x:c>
      <x:c r="G15" s="10" t="n">
        <x:v>37</x:v>
      </x:c>
      <x:c r="H15" s="10" t="n">
        <x:v>3225</x:v>
      </x:c>
      <x:c r="I15" s="10" t="n">
        <x:v>35.8</x:v>
      </x:c>
      <x:c r="J15" s="10" t="n">
        <x:v>7</x:v>
      </x:c>
      <x:c r="K15" s="10" t="n">
        <x:v>8</x:v>
      </x:c>
      <x:c r="L15" s="34" t="n">
        <x:v>15</x:v>
      </x:c>
    </x:row>
    <x:row r="16">
      <x:c r="A16" s="39" t="n">
        <x:v>3</x:v>
      </x:c>
      <x:c r="B16" s="33" t="str">
        <x:v>Martin Ødegaard</x:v>
      </x:c>
      <x:c r="C16" s="10" t="str">
        <x:v>no NOR</x:v>
      </x:c>
      <x:c r="D16" s="10" t="str">
        <x:v>MF</x:v>
      </x:c>
      <x:c r="E16" s="10" t="n">
        <x:v>24</x:v>
      </x:c>
      <x:c r="F16" s="10" t="n">
        <x:v>35</x:v>
      </x:c>
      <x:c r="G16" s="10" t="n">
        <x:v>35</x:v>
      </x:c>
      <x:c r="H16" s="10" t="n">
        <x:v>3091</x:v>
      </x:c>
      <x:c r="I16" s="10" t="n">
        <x:v>34.3</x:v>
      </x:c>
      <x:c r="J16" s="10" t="n">
        <x:v>8</x:v>
      </x:c>
      <x:c r="K16" s="10" t="n">
        <x:v>10</x:v>
      </x:c>
      <x:c r="L16" s="34" t="n">
        <x:v>18</x:v>
      </x:c>
    </x:row>
    <x:row r="17">
      <x:c r="A17" s="39" t="n">
        <x:v>4</x:v>
      </x:c>
      <x:c r="B17" s="33" t="str">
        <x:v>Ben White</x:v>
      </x:c>
      <x:c r="C17" s="10" t="str">
        <x:v>eng ENG</x:v>
      </x:c>
      <x:c r="D17" s="10" t="str">
        <x:v>DF</x:v>
      </x:c>
      <x:c r="E17" s="10" t="n">
        <x:v>25</x:v>
      </x:c>
      <x:c r="F17" s="10" t="n">
        <x:v>37</x:v>
      </x:c>
      <x:c r="G17" s="10" t="n">
        <x:v>35</x:v>
      </x:c>
      <x:c r="H17" s="10" t="n">
        <x:v>2988</x:v>
      </x:c>
      <x:c r="I17" s="10" t="n">
        <x:v>33.2</x:v>
      </x:c>
      <x:c r="J17" s="10" t="n">
        <x:v>4</x:v>
      </x:c>
      <x:c r="K17" s="10" t="n">
        <x:v>4</x:v>
      </x:c>
      <x:c r="L17" s="34" t="n">
        <x:v>8</x:v>
      </x:c>
    </x:row>
    <x:row r="18">
      <x:c r="A18" s="39" t="n">
        <x:v>5</x:v>
      </x:c>
      <x:c r="B18" s="33" t="str">
        <x:v>Bukayo Saka</x:v>
      </x:c>
      <x:c r="C18" s="10" t="str">
        <x:v>eng ENG</x:v>
      </x:c>
      <x:c r="D18" s="10" t="str">
        <x:v>FW</x:v>
      </x:c>
      <x:c r="E18" s="10" t="n">
        <x:v>21</x:v>
      </x:c>
      <x:c r="F18" s="10" t="n">
        <x:v>35</x:v>
      </x:c>
      <x:c r="G18" s="10" t="n">
        <x:v>35</x:v>
      </x:c>
      <x:c r="H18" s="10" t="n">
        <x:v>2919</x:v>
      </x:c>
      <x:c r="I18" s="10" t="n">
        <x:v>32.4</x:v>
      </x:c>
      <x:c r="J18" s="10" t="n">
        <x:v>16</x:v>
      </x:c>
      <x:c r="K18" s="10" t="n">
        <x:v>9</x:v>
      </x:c>
      <x:c r="L18" s="34" t="n">
        <x:v>25</x:v>
      </x:c>
    </x:row>
    <x:row r="19">
      <x:c r="A19" s="39" t="n">
        <x:v>6</x:v>
      </x:c>
      <x:c r="B19" s="33" t="str">
        <x:v>Gabriel Magalhães</x:v>
      </x:c>
      <x:c r="C19" s="10" t="str">
        <x:v>br BRA</x:v>
      </x:c>
      <x:c r="D19" s="10" t="str">
        <x:v>DF</x:v>
      </x:c>
      <x:c r="E19" s="10" t="n">
        <x:v>25</x:v>
      </x:c>
      <x:c r="F19" s="10" t="n">
        <x:v>36</x:v>
      </x:c>
      <x:c r="G19" s="10" t="n">
        <x:v>34</x:v>
      </x:c>
      <x:c r="H19" s="10" t="n">
        <x:v>3044</x:v>
      </x:c>
      <x:c r="I19" s="10" t="n">
        <x:v>33.8</x:v>
      </x:c>
      <x:c r="J19" s="10" t="n">
        <x:v>4</x:v>
      </x:c>
      <x:c r="K19" s="10" t="n">
        <x:v>0</x:v>
      </x:c>
      <x:c r="L19" s="34" t="n">
        <x:v>4</x:v>
      </x:c>
    </x:row>
    <x:row r="20">
      <x:c r="A20" s="39" t="n">
        <x:v>7</x:v>
      </x:c>
      <x:c r="B20" s="33" t="str">
        <x:v>David Raya</x:v>
      </x:c>
      <x:c r="C20" s="10" t="str">
        <x:v>es ESP</x:v>
      </x:c>
      <x:c r="D20" s="10" t="str">
        <x:v>GK</x:v>
      </x:c>
      <x:c r="E20" s="10" t="n">
        <x:v>27</x:v>
      </x:c>
      <x:c r="F20" s="10" t="n">
        <x:v>32</x:v>
      </x:c>
      <x:c r="G20" s="10" t="n">
        <x:v>32</x:v>
      </x:c>
      <x:c r="H20" s="10" t="n">
        <x:v>2880</x:v>
      </x:c>
      <x:c r="I20" s="10" t="n">
        <x:v>32</x:v>
      </x:c>
      <x:c r="J20" s="10" t="n">
        <x:v>0</x:v>
      </x:c>
      <x:c r="K20" s="10" t="n">
        <x:v>0</x:v>
      </x:c>
      <x:c r="L20" s="34" t="n">
        <x:v>0</x:v>
      </x:c>
    </x:row>
    <x:row r="21">
      <x:c r="A21" s="39" t="n">
        <x:v>8</x:v>
      </x:c>
      <x:c r="B21" s="33" t="str">
        <x:v>Kai Havertz</x:v>
      </x:c>
      <x:c r="C21" s="10" t="str">
        <x:v>de GER</x:v>
      </x:c>
      <x:c r="D21" s="10" t="str">
        <x:v>MF,FW</x:v>
      </x:c>
      <x:c r="E21" s="10" t="n">
        <x:v>24</x:v>
      </x:c>
      <x:c r="F21" s="10" t="n">
        <x:v>37</x:v>
      </x:c>
      <x:c r="G21" s="10" t="n">
        <x:v>30</x:v>
      </x:c>
      <x:c r="H21" s="10" t="n">
        <x:v>2634</x:v>
      </x:c>
      <x:c r="I21" s="10" t="n">
        <x:v>29.3</x:v>
      </x:c>
      <x:c r="J21" s="10" t="n">
        <x:v>13</x:v>
      </x:c>
      <x:c r="K21" s="10" t="n">
        <x:v>7</x:v>
      </x:c>
      <x:c r="L21" s="34" t="n">
        <x:v>20</x:v>
      </x:c>
    </x:row>
    <x:row r="22">
      <x:c r="A22" s="39" t="n">
        <x:v>9</x:v>
      </x:c>
      <x:c r="B22" s="33" t="str">
        <x:v>Gabriel Martinelli</x:v>
      </x:c>
      <x:c r="C22" s="10" t="str">
        <x:v>br BRA</x:v>
      </x:c>
      <x:c r="D22" s="10" t="str">
        <x:v>FW</x:v>
      </x:c>
      <x:c r="E22" s="10" t="n">
        <x:v>22</x:v>
      </x:c>
      <x:c r="F22" s="10" t="n">
        <x:v>35</x:v>
      </x:c>
      <x:c r="G22" s="10" t="n">
        <x:v>24</x:v>
      </x:c>
      <x:c r="H22" s="10" t="n">
        <x:v>2019</x:v>
      </x:c>
      <x:c r="I22" s="10" t="n">
        <x:v>22.4</x:v>
      </x:c>
      <x:c r="J22" s="10" t="n">
        <x:v>6</x:v>
      </x:c>
      <x:c r="K22" s="10" t="n">
        <x:v>4</x:v>
      </x:c>
      <x:c r="L22" s="34" t="n">
        <x:v>10</x:v>
      </x:c>
    </x:row>
    <x:row r="23">
      <x:c r="A23" s="39" t="n">
        <x:v>10</x:v>
      </x:c>
      <x:c r="B23" s="33" t="str">
        <x:v>Oleksandr Zinchenko</x:v>
      </x:c>
      <x:c r="C23" s="10" t="str">
        <x:v>ua UKR</x:v>
      </x:c>
      <x:c r="D23" s="10" t="str">
        <x:v>DF</x:v>
      </x:c>
      <x:c r="E23" s="10" t="n">
        <x:v>26</x:v>
      </x:c>
      <x:c r="F23" s="10" t="n">
        <x:v>27</x:v>
      </x:c>
      <x:c r="G23" s="10" t="n">
        <x:v>20</x:v>
      </x:c>
      <x:c r="H23" s="10" t="n">
        <x:v>1722</x:v>
      </x:c>
      <x:c r="I23" s="10" t="n">
        <x:v>19.1</x:v>
      </x:c>
      <x:c r="J23" s="10" t="n">
        <x:v>1</x:v>
      </x:c>
      <x:c r="K23" s="10" t="n">
        <x:v>2</x:v>
      </x:c>
      <x:c r="L23" s="34" t="n">
        <x:v>3</x:v>
      </x:c>
    </x:row>
    <x:row r="24">
      <x:c r="A24" s="39" t="n">
        <x:v>11</x:v>
      </x:c>
      <x:c r="B24" s="33" t="str">
        <x:v>Leandro Trossard</x:v>
      </x:c>
      <x:c r="C24" s="10" t="str">
        <x:v>be BEL</x:v>
      </x:c>
      <x:c r="D24" s="10" t="str">
        <x:v>FW,MF</x:v>
      </x:c>
      <x:c r="E24" s="10" t="n">
        <x:v>28</x:v>
      </x:c>
      <x:c r="F24" s="10" t="n">
        <x:v>34</x:v>
      </x:c>
      <x:c r="G24" s="10" t="n">
        <x:v>18</x:v>
      </x:c>
      <x:c r="H24" s="10" t="n">
        <x:v>1649</x:v>
      </x:c>
      <x:c r="I24" s="10" t="n">
        <x:v>18.3</x:v>
      </x:c>
      <x:c r="J24" s="10" t="n">
        <x:v>12</x:v>
      </x:c>
      <x:c r="K24" s="10" t="n">
        <x:v>1</x:v>
      </x:c>
      <x:c r="L24" s="34" t="n">
        <x:v>13</x:v>
      </x:c>
    </x:row>
    <x:row r="25">
      <x:c r="A25" s="39" t="n">
        <x:v>12</x:v>
      </x:c>
      <x:c r="B25" s="33" t="str">
        <x:v>Gabriel Jesus</x:v>
      </x:c>
      <x:c r="C25" s="10" t="str">
        <x:v>br BRA</x:v>
      </x:c>
      <x:c r="D25" s="10" t="str">
        <x:v>FW</x:v>
      </x:c>
      <x:c r="E25" s="10" t="n">
        <x:v>26</x:v>
      </x:c>
      <x:c r="F25" s="10" t="n">
        <x:v>27</x:v>
      </x:c>
      <x:c r="G25" s="10" t="n">
        <x:v>17</x:v>
      </x:c>
      <x:c r="H25" s="10" t="n">
        <x:v>1478</x:v>
      </x:c>
      <x:c r="I25" s="10" t="n">
        <x:v>16.4</x:v>
      </x:c>
      <x:c r="J25" s="10" t="n">
        <x:v>4</x:v>
      </x:c>
      <x:c r="K25" s="10" t="n">
        <x:v>5</x:v>
      </x:c>
      <x:c r="L25" s="34" t="n">
        <x:v>9</x:v>
      </x:c>
    </x:row>
    <x:row r="26">
      <x:c r="A26" s="39" t="n">
        <x:v>13</x:v>
      </x:c>
      <x:c r="B26" s="33" t="str">
        <x:v>Jakub Kiwior</x:v>
      </x:c>
      <x:c r="C26" s="10" t="str">
        <x:v>pl POL</x:v>
      </x:c>
      <x:c r="D26" s="10" t="str">
        <x:v>DF</x:v>
      </x:c>
      <x:c r="E26" s="10" t="n">
        <x:v>23</x:v>
      </x:c>
      <x:c r="F26" s="10" t="n">
        <x:v>20</x:v>
      </x:c>
      <x:c r="G26" s="10" t="n">
        <x:v>11</x:v>
      </x:c>
      <x:c r="H26" s="10" t="n">
        <x:v>946</x:v>
      </x:c>
      <x:c r="I26" s="10" t="n">
        <x:v>10.5</x:v>
      </x:c>
      <x:c r="J26" s="10" t="n">
        <x:v>1</x:v>
      </x:c>
      <x:c r="K26" s="10" t="n">
        <x:v>3</x:v>
      </x:c>
      <x:c r="L26" s="34" t="n">
        <x:v>4</x:v>
      </x:c>
    </x:row>
    <x:row r="27">
      <x:c r="A27" s="39" t="n">
        <x:v>14</x:v>
      </x:c>
      <x:c r="B27" s="33" t="str">
        <x:v>Takehiro Tomiyasu</x:v>
      </x:c>
      <x:c r="C27" s="10" t="str">
        <x:v>jp JPN</x:v>
      </x:c>
      <x:c r="D27" s="10" t="str">
        <x:v>DF</x:v>
      </x:c>
      <x:c r="E27" s="10" t="n">
        <x:v>24</x:v>
      </x:c>
      <x:c r="F27" s="10" t="n">
        <x:v>22</x:v>
      </x:c>
      <x:c r="G27" s="10" t="n">
        <x:v>10</x:v>
      </x:c>
      <x:c r="H27" s="10" t="n">
        <x:v>1149</x:v>
      </x:c>
      <x:c r="I27" s="10" t="n">
        <x:v>12.8</x:v>
      </x:c>
      <x:c r="J27" s="10" t="n">
        <x:v>2</x:v>
      </x:c>
      <x:c r="K27" s="10" t="n">
        <x:v>1</x:v>
      </x:c>
      <x:c r="L27" s="34" t="n">
        <x:v>3</x:v>
      </x:c>
    </x:row>
    <x:row r="28">
      <x:c r="A28" s="39" t="n">
        <x:v>15</x:v>
      </x:c>
      <x:c r="B28" s="33" t="str">
        <x:v>Eddie Nketiah</x:v>
      </x:c>
      <x:c r="C28" s="10" t="str">
        <x:v>eng ENG</x:v>
      </x:c>
      <x:c r="D28" s="10" t="str">
        <x:v>FW</x:v>
      </x:c>
      <x:c r="E28" s="10" t="n">
        <x:v>24</x:v>
      </x:c>
      <x:c r="F28" s="10" t="n">
        <x:v>27</x:v>
      </x:c>
      <x:c r="G28" s="10" t="n">
        <x:v>10</x:v>
      </x:c>
      <x:c r="H28" s="10" t="n">
        <x:v>1082</x:v>
      </x:c>
      <x:c r="I28" s="10" t="n">
        <x:v>12</x:v>
      </x:c>
      <x:c r="J28" s="10" t="n">
        <x:v>5</x:v>
      </x:c>
      <x:c r="K28" s="10" t="n">
        <x:v>2</x:v>
      </x:c>
      <x:c r="L28" s="34" t="n">
        <x:v>7</x:v>
      </x:c>
    </x:row>
    <x:row r="29">
      <x:c r="A29" s="39" t="n">
        <x:v>16</x:v>
      </x:c>
      <x:c r="B29" s="33" t="str">
        <x:v>Jorginho</x:v>
      </x:c>
      <x:c r="C29" s="10" t="str">
        <x:v>it ITA</x:v>
      </x:c>
      <x:c r="D29" s="10" t="str">
        <x:v>MF</x:v>
      </x:c>
      <x:c r="E29" s="10" t="n">
        <x:v>31</x:v>
      </x:c>
      <x:c r="F29" s="10" t="n">
        <x:v>24</x:v>
      </x:c>
      <x:c r="G29" s="10" t="n">
        <x:v>10</x:v>
      </x:c>
      <x:c r="H29" s="10" t="n">
        <x:v>921</x:v>
      </x:c>
      <x:c r="I29" s="10" t="n">
        <x:v>10.2</x:v>
      </x:c>
      <x:c r="J29" s="10" t="n">
        <x:v>0</x:v>
      </x:c>
      <x:c r="K29" s="10" t="n">
        <x:v>2</x:v>
      </x:c>
      <x:c r="L29" s="34" t="n">
        <x:v>2</x:v>
      </x:c>
    </x:row>
    <x:row r="30">
      <x:c r="A30" s="39" t="n">
        <x:v>17</x:v>
      </x:c>
      <x:c r="B30" s="33" t="str">
        <x:v>Thomas Partey</x:v>
      </x:c>
      <x:c r="C30" s="10" t="str">
        <x:v>gh GHA</x:v>
      </x:c>
      <x:c r="D30" s="10" t="str">
        <x:v>MF,DF</x:v>
      </x:c>
      <x:c r="E30" s="10" t="n">
        <x:v>30</x:v>
      </x:c>
      <x:c r="F30" s="10" t="n">
        <x:v>14</x:v>
      </x:c>
      <x:c r="G30" s="10" t="n">
        <x:v>9</x:v>
      </x:c>
      <x:c r="H30" s="10" t="n">
        <x:v>788</x:v>
      </x:c>
      <x:c r="I30" s="10" t="n">
        <x:v>8.8</x:v>
      </x:c>
      <x:c r="J30" s="10" t="n">
        <x:v>0</x:v>
      </x:c>
      <x:c r="K30" s="10" t="n">
        <x:v>0</x:v>
      </x:c>
      <x:c r="L30" s="34" t="n">
        <x:v>0</x:v>
      </x:c>
    </x:row>
    <x:row r="31">
      <x:c r="A31" s="39" t="n">
        <x:v>18</x:v>
      </x:c>
      <x:c r="B31" s="33" t="str">
        <x:v>Aaron Ramsdale</x:v>
      </x:c>
      <x:c r="C31" s="10" t="str">
        <x:v>eng ENG</x:v>
      </x:c>
      <x:c r="D31" s="10" t="str">
        <x:v>GK</x:v>
      </x:c>
      <x:c r="E31" s="10" t="n">
        <x:v>25</x:v>
      </x:c>
      <x:c r="F31" s="10" t="n">
        <x:v>6</x:v>
      </x:c>
      <x:c r="G31" s="10" t="n">
        <x:v>6</x:v>
      </x:c>
      <x:c r="H31" s="10" t="n">
        <x:v>540</x:v>
      </x:c>
      <x:c r="I31" s="10" t="n">
        <x:v>6</x:v>
      </x:c>
      <x:c r="J31" s="10" t="n">
        <x:v>0</x:v>
      </x:c>
      <x:c r="K31" s="10" t="n">
        <x:v>0</x:v>
      </x:c>
      <x:c r="L31" s="34" t="n">
        <x:v>0</x:v>
      </x:c>
    </x:row>
    <x:row r="32">
      <x:c r="A32" s="39" t="n">
        <x:v>19</x:v>
      </x:c>
      <x:c r="B32" s="33" t="str">
        <x:v>Emile Smith Rowe</x:v>
      </x:c>
      <x:c r="C32" s="10" t="str">
        <x:v>eng ENG</x:v>
      </x:c>
      <x:c r="D32" s="10" t="str">
        <x:v>MF</x:v>
      </x:c>
      <x:c r="E32" s="10" t="n">
        <x:v>23</x:v>
      </x:c>
      <x:c r="F32" s="10" t="n">
        <x:v>13</x:v>
      </x:c>
      <x:c r="G32" s="10" t="n">
        <x:v>3</x:v>
      </x:c>
      <x:c r="H32" s="10" t="n">
        <x:v>353</x:v>
      </x:c>
      <x:c r="I32" s="10" t="n">
        <x:v>3.9</x:v>
      </x:c>
      <x:c r="J32" s="10" t="n">
        <x:v>0</x:v>
      </x:c>
      <x:c r="K32" s="10" t="n">
        <x:v>1</x:v>
      </x:c>
      <x:c r="L32" s="34" t="n">
        <x:v>1</x:v>
      </x:c>
    </x:row>
    <x:row r="33">
      <x:c r="A33" s="39" t="n">
        <x:v>20</x:v>
      </x:c>
      <x:c r="B33" s="33" t="str">
        <x:v>Fabio Vieira</x:v>
      </x:c>
      <x:c r="C33" s="10" t="str">
        <x:v>pt POR</x:v>
      </x:c>
      <x:c r="D33" s="10" t="str">
        <x:v>MF</x:v>
      </x:c>
      <x:c r="E33" s="10" t="n">
        <x:v>23</x:v>
      </x:c>
      <x:c r="F33" s="10" t="n">
        <x:v>11</x:v>
      </x:c>
      <x:c r="G33" s="10" t="n">
        <x:v>2</x:v>
      </x:c>
      <x:c r="H33" s="10" t="n">
        <x:v>297</x:v>
      </x:c>
      <x:c r="I33" s="10" t="n">
        <x:v>3.3</x:v>
      </x:c>
      <x:c r="J33" s="10" t="n">
        <x:v>1</x:v>
      </x:c>
      <x:c r="K33" s="10" t="n">
        <x:v>2</x:v>
      </x:c>
      <x:c r="L33" s="34" t="n">
        <x:v>3</x:v>
      </x:c>
    </x:row>
    <x:row r="34">
      <x:c r="A34" s="39" t="n">
        <x:v>21</x:v>
      </x:c>
      <x:c r="B34" s="33" t="str">
        <x:v>Reiss Nelson</x:v>
      </x:c>
      <x:c r="C34" s="10" t="str">
        <x:v>eng ENG</x:v>
      </x:c>
      <x:c r="D34" s="10" t="str">
        <x:v>FW</x:v>
      </x:c>
      <x:c r="E34" s="10" t="n">
        <x:v>23</x:v>
      </x:c>
      <x:c r="F34" s="10" t="n">
        <x:v>15</x:v>
      </x:c>
      <x:c r="G34" s="10" t="n">
        <x:v>1</x:v>
      </x:c>
      <x:c r="H34" s="10" t="n">
        <x:v>268</x:v>
      </x:c>
      <x:c r="I34" s="10" t="n">
        <x:v>3</x:v>
      </x:c>
      <x:c r="J34" s="10" t="n">
        <x:v>0</x:v>
      </x:c>
      <x:c r="K34" s="10" t="n">
        <x:v>0</x:v>
      </x:c>
      <x:c r="L34" s="34" t="n">
        <x:v>0</x:v>
      </x:c>
    </x:row>
    <x:row r="35">
      <x:c r="A35" s="39" t="n">
        <x:v>22</x:v>
      </x:c>
      <x:c r="B35" s="33" t="str">
        <x:v>Jurriën Timber</x:v>
      </x:c>
      <x:c r="C35" s="10" t="str">
        <x:v>nl NED</x:v>
      </x:c>
      <x:c r="D35" s="10" t="str">
        <x:v>DF</x:v>
      </x:c>
      <x:c r="E35" s="10" t="n">
        <x:v>22</x:v>
      </x:c>
      <x:c r="F35" s="10" t="n">
        <x:v>2</x:v>
      </x:c>
      <x:c r="G35" s="10" t="n">
        <x:v>1</x:v>
      </x:c>
      <x:c r="H35" s="10" t="n">
        <x:v>71</x:v>
      </x:c>
      <x:c r="I35" s="10" t="n">
        <x:v>0.8</x:v>
      </x:c>
      <x:c r="J35" s="10" t="n">
        <x:v>0</x:v>
      </x:c>
      <x:c r="K35" s="10" t="n">
        <x:v>0</x:v>
      </x:c>
      <x:c r="L35" s="34" t="n">
        <x:v>0</x:v>
      </x:c>
    </x:row>
    <x:row r="36">
      <x:c r="A36" s="39" t="n">
        <x:v>23</x:v>
      </x:c>
      <x:c r="B36" s="33" t="str">
        <x:v>Cédric Soares</x:v>
      </x:c>
      <x:c r="C36" s="10" t="str">
        <x:v>pt POR</x:v>
      </x:c>
      <x:c r="D36" s="10" t="str">
        <x:v>DF,MF</x:v>
      </x:c>
      <x:c r="E36" s="10" t="n">
        <x:v>31</x:v>
      </x:c>
      <x:c r="F36" s="10" t="n">
        <x:v>3</x:v>
      </x:c>
      <x:c r="G36" s="10" t="n">
        <x:v>0</x:v>
      </x:c>
      <x:c r="H36" s="10" t="n">
        <x:v>62</x:v>
      </x:c>
      <x:c r="I36" s="10" t="n">
        <x:v>0.7</x:v>
      </x:c>
      <x:c r="J36" s="10" t="n">
        <x:v>0</x:v>
      </x:c>
      <x:c r="K36" s="10" t="n">
        <x:v>0</x:v>
      </x:c>
      <x:c r="L36" s="34" t="n">
        <x:v>0</x:v>
      </x:c>
    </x:row>
    <x:row r="37">
      <x:c r="A37" s="39" t="n">
        <x:v>24</x:v>
      </x:c>
      <x:c r="B37" s="33" t="str">
        <x:v>Mohamed Elneny</x:v>
      </x:c>
      <x:c r="C37" s="10" t="str">
        <x:v>eg EGY</x:v>
      </x:c>
      <x:c r="D37" s="10" t="str">
        <x:v>MF</x:v>
      </x:c>
      <x:c r="E37" s="10" t="n">
        <x:v>31</x:v>
      </x:c>
      <x:c r="F37" s="10" t="n">
        <x:v>3</x:v>
      </x:c>
      <x:c r="G37" s="10" t="n">
        <x:v>0</x:v>
      </x:c>
      <x:c r="H37" s="10" t="n">
        <x:v>28</x:v>
      </x:c>
      <x:c r="I37" s="10" t="n">
        <x:v>0.3</x:v>
      </x:c>
      <x:c r="J37" s="10" t="n">
        <x:v>0</x:v>
      </x:c>
      <x:c r="K37" s="10" t="n">
        <x:v>0</x:v>
      </x:c>
      <x:c r="L37" s="34" t="n">
        <x:v>0</x:v>
      </x:c>
    </x:row>
    <x:row r="38">
      <x:c r="A38" s="39" t="n">
        <x:v>25</x:v>
      </x:c>
      <x:c r="B38" s="33" t="str">
        <x:v>Ethan Nwaneri</x:v>
      </x:c>
      <x:c r="C38" s="10" t="str">
        <x:v>eng ENG</x:v>
      </x:c>
      <x:c r="D38" s="10" t="str">
        <x:v>MF</x:v>
      </x:c>
      <x:c r="E38" s="10" t="n">
        <x:v>16</x:v>
      </x:c>
      <x:c r="F38" s="10" t="n">
        <x:v>1</x:v>
      </x:c>
      <x:c r="G38" s="10" t="n">
        <x:v>0</x:v>
      </x:c>
      <x:c r="H38" s="10" t="n">
        <x:v>14</x:v>
      </x:c>
      <x:c r="I38" s="10" t="n">
        <x:v>0.2</x:v>
      </x:c>
      <x:c r="J38" s="10" t="n">
        <x:v>0</x:v>
      </x:c>
      <x:c r="K38" s="10" t="n">
        <x:v>0</x:v>
      </x:c>
      <x:c r="L38" s="34" t="n">
        <x:v>0</x:v>
      </x:c>
    </x:row>
    <x:row r="39">
      <x:c r="A39" s="39" t="n">
        <x:v>26</x:v>
      </x:c>
      <x:c r="B39" s="33" t="str">
        <x:v>Mauro Bandeira</x:v>
      </x:c>
      <x:c r="C39" s="10" t="str">
        <x:v>pt POR</x:v>
      </x:c>
      <x:c r="D39" s="10" t="str">
        <x:v>MF</x:v>
      </x:c>
      <x:c r="E39" s="10" t="n">
        <x:v>19</x:v>
      </x:c>
      <x:c r="F39" s="10" t="n">
        <x:v>0</x:v>
      </x:c>
      <x:c r="G39" s="10" t="n">
        <x:v>0</x:v>
      </x:c>
      <x:c r="H39" s="10"/>
      <x:c r="I39" s="10"/>
      <x:c r="J39" s="10"/>
      <x:c r="K39" s="10"/>
      <x:c r="L39" s="34"/>
    </x:row>
    <x:row r="40">
      <x:c r="A40" s="39" t="n">
        <x:v>27</x:v>
      </x:c>
      <x:c r="B40" s="33" t="str">
        <x:v>Bradley Ibrahim</x:v>
      </x:c>
      <x:c r="C40" s="10" t="str">
        <x:v>eng ENG</x:v>
      </x:c>
      <x:c r="D40" s="10" t="str">
        <x:v>MF</x:v>
      </x:c>
      <x:c r="E40" s="10" t="n">
        <x:v>18</x:v>
      </x:c>
      <x:c r="F40" s="10" t="n">
        <x:v>0</x:v>
      </x:c>
      <x:c r="G40" s="10" t="n">
        <x:v>0</x:v>
      </x:c>
      <x:c r="H40" s="10"/>
      <x:c r="I40" s="10"/>
      <x:c r="J40" s="10"/>
      <x:c r="K40" s="10"/>
      <x:c r="L40" s="34"/>
    </x:row>
    <x:row r="41">
      <x:c r="A41" s="39" t="n">
        <x:v>28</x:v>
      </x:c>
      <x:c r="B41" s="33" t="str">
        <x:v>Karl Jakob Hein</x:v>
      </x:c>
      <x:c r="C41" s="10" t="str">
        <x:v>ee EST</x:v>
      </x:c>
      <x:c r="D41" s="10" t="str">
        <x:v>GK</x:v>
      </x:c>
      <x:c r="E41" s="10" t="n">
        <x:v>21</x:v>
      </x:c>
      <x:c r="F41" s="10" t="n">
        <x:v>0</x:v>
      </x:c>
      <x:c r="G41" s="10" t="n">
        <x:v>0</x:v>
      </x:c>
      <x:c r="H41" s="10"/>
      <x:c r="I41" s="10"/>
      <x:c r="J41" s="10"/>
      <x:c r="K41" s="10"/>
      <x:c r="L41" s="34"/>
    </x:row>
    <x:row r="42">
      <x:c r="A42" s="39" t="n">
        <x:v>29</x:v>
      </x:c>
      <x:c r="B42" s="33" t="str">
        <x:v>Myles Lewis-Skelly</x:v>
      </x:c>
      <x:c r="C42" s="10" t="str">
        <x:v>eng ENG</x:v>
      </x:c>
      <x:c r="D42" s="10" t="str">
        <x:v>DF</x:v>
      </x:c>
      <x:c r="E42" s="10" t="n">
        <x:v>16</x:v>
      </x:c>
      <x:c r="F42" s="10" t="n">
        <x:v>0</x:v>
      </x:c>
      <x:c r="G42" s="10" t="n">
        <x:v>0</x:v>
      </x:c>
      <x:c r="H42" s="10"/>
      <x:c r="I42" s="10"/>
      <x:c r="J42" s="10"/>
      <x:c r="K42" s="10"/>
      <x:c r="L42" s="34"/>
    </x:row>
    <x:row r="43">
      <x:c r="A43" s="39" t="n">
        <x:v>30</x:v>
      </x:c>
      <x:c r="B43" s="33" t="str">
        <x:v>Charles Sagoe Jr</x:v>
      </x:c>
      <x:c r="C43" s="10" t="str">
        <x:v>eng ENG</x:v>
      </x:c>
      <x:c r="D43" s="10" t="str">
        <x:v>FW,MF</x:v>
      </x:c>
      <x:c r="E43" s="10" t="n">
        <x:v>19</x:v>
      </x:c>
      <x:c r="F43" s="10" t="n">
        <x:v>0</x:v>
      </x:c>
      <x:c r="G43" s="10" t="n">
        <x:v>0</x:v>
      </x:c>
      <x:c r="H43" s="10"/>
      <x:c r="I43" s="10"/>
      <x:c r="J43" s="10"/>
      <x:c r="K43" s="10"/>
      <x:c r="L43" s="34"/>
    </x:row>
    <x:row r="44">
      <x:c r="A44" s="39" t="n">
        <x:v>31</x:v>
      </x:c>
      <x:c r="B44" s="33" t="str">
        <x:v>James Sweet</x:v>
      </x:c>
      <x:c r="C44" s="10" t="str">
        <x:v>wls WAL</x:v>
      </x:c>
      <x:c r="D44" s="10" t="str">
        <x:v>DF</x:v>
      </x:c>
      <x:c r="E44" s="10" t="n">
        <x:v>19</x:v>
      </x:c>
      <x:c r="F44" s="10" t="n">
        <x:v>0</x:v>
      </x:c>
      <x:c r="G44" s="10" t="n">
        <x:v>0</x:v>
      </x:c>
      <x:c r="H44" s="10"/>
      <x:c r="I44" s="10"/>
      <x:c r="J44" s="10"/>
      <x:c r="K44" s="10"/>
      <x:c r="L44" s="34"/>
    </x:row>
    <x:row r="45">
      <x:c r="A45" s="39" t="n">
        <x:v>32</x:v>
      </x:c>
      <x:c r="B45" s="33" t="str">
        <x:v>Reuell Walters</x:v>
      </x:c>
      <x:c r="C45" s="10" t="str">
        <x:v>eng ENG</x:v>
      </x:c>
      <x:c r="D45" s="10" t="str">
        <x:v>DF</x:v>
      </x:c>
      <x:c r="E45" s="10" t="n">
        <x:v>18</x:v>
      </x:c>
      <x:c r="F45" s="10" t="n">
        <x:v>0</x:v>
      </x:c>
      <x:c r="G45" s="10" t="n">
        <x:v>0</x:v>
      </x:c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04</x:v>
      </x:c>
      <x:c r="B1" s="4" t="str">
        <x:v>PAGE302 — CLUB DATA COLLECTION — SLOT 04</x:v>
      </x:c>
      <x:c r="C1" s="4" t="str">
        <x:v>PAGE302 — CLUB DATA COLLECTION — SLOT 04</x:v>
      </x:c>
      <x:c r="D1" s="4" t="str">
        <x:v>PAGE302 — CLUB DATA COLLECTION — SLOT 04</x:v>
      </x:c>
      <x:c r="E1" s="4" t="str">
        <x:v>PAGE302 — CLUB DATA COLLECTION — SLOT 04</x:v>
      </x:c>
      <x:c r="F1" s="4" t="str">
        <x:v>PAGE302 — CLUB DATA COLLECTION — SLOT 04</x:v>
      </x:c>
      <x:c r="G1" s="4" t="str">
        <x:v>PAGE302 — CLUB DATA COLLECTION — SLOT 04</x:v>
      </x:c>
      <x:c r="H1" s="4" t="str">
        <x:v>PAGE302 — CLUB DATA COLLECTION — SLOT 04</x:v>
      </x:c>
      <x:c r="I1" s="4" t="str">
        <x:v>PAGE302 — CLUB DATA COLLECTION — SLOT 04</x:v>
      </x:c>
      <x:c r="J1" s="4" t="str">
        <x:v>PAGE302 — CLUB DATA COLLECTION — SLOT 04</x:v>
      </x:c>
      <x:c r="K1" s="4" t="str">
        <x:v>PAGE302 — CLUB DATA COLLECTION — SLOT 04</x:v>
      </x:c>
      <x:c r="L1" s="4" t="str">
        <x:v>PAGE302 — CLUB DATA COLLECTION — SLOT 04</x:v>
      </x:c>
    </x:row>
    <x:row r="3">
      <x:c r="A3" s="12" t="str">
        <x:v>TEAM CODE:</x:v>
      </x:c>
      <x:c r="B3" s="23" t="str">
        <x:f>IF('Pack Planner'!$E$14="","",'Pack Planner'!$E$14)</x:f>
        <x:v>CHE1314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Planner'!$C$14="","",'Pack Planner'!$C$14)</x:f>
        <x:v>Chelsea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Planner'!$D$14="","",'Pack Planner'!$D$14)</x:f>
        <x:v>2013-14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Planner'!$B$14</x:f>
        <x:v>Sky 6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 t="str">
        <x:v>https://fbref.com/en/squads/cff3d9bb/2013-2014/Chelsea-Stats</x:v>
      </x:c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 t="str">
        <x:v>José Mourinho</x:v>
      </x:c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 t="n">
        <x:v>38</x:v>
      </x:c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 t="str">
        <x:v>Branislav Ivanović</x:v>
      </x:c>
      <x:c r="C14" s="31" t="str">
        <x:v>rs SRB</x:v>
      </x:c>
      <x:c r="D14" s="31" t="str">
        <x:v>DF</x:v>
      </x:c>
      <x:c r="E14" s="31" t="n">
        <x:v>29</x:v>
      </x:c>
      <x:c r="F14" s="31" t="n">
        <x:v>36</x:v>
      </x:c>
      <x:c r="G14" s="31" t="n">
        <x:v>36</x:v>
      </x:c>
      <x:c r="H14" s="31" t="n">
        <x:v>3179</x:v>
      </x:c>
      <x:c r="I14" s="31" t="n">
        <x:v>35.3</x:v>
      </x:c>
      <x:c r="J14" s="31" t="n">
        <x:v>3</x:v>
      </x:c>
      <x:c r="K14" s="31" t="n">
        <x:v>1</x:v>
      </x:c>
      <x:c r="L14" s="32" t="n">
        <x:v>4</x:v>
      </x:c>
    </x:row>
    <x:row r="15">
      <x:c r="A15" s="39" t="n">
        <x:v>2</x:v>
      </x:c>
      <x:c r="B15" s="33" t="str">
        <x:v>Petr Čech</x:v>
      </x:c>
      <x:c r="C15" s="10" t="str">
        <x:v>cz CZE</x:v>
      </x:c>
      <x:c r="D15" s="10" t="str">
        <x:v>GK</x:v>
      </x:c>
      <x:c r="E15" s="10" t="n">
        <x:v>31</x:v>
      </x:c>
      <x:c r="F15" s="10" t="n">
        <x:v>34</x:v>
      </x:c>
      <x:c r="G15" s="10" t="n">
        <x:v>34</x:v>
      </x:c>
      <x:c r="H15" s="10" t="n">
        <x:v>3060</x:v>
      </x:c>
      <x:c r="I15" s="10" t="n">
        <x:v>34</x:v>
      </x:c>
      <x:c r="J15" s="10" t="n">
        <x:v>0</x:v>
      </x:c>
      <x:c r="K15" s="10" t="n">
        <x:v>0</x:v>
      </x:c>
      <x:c r="L15" s="34" t="n">
        <x:v>0</x:v>
      </x:c>
    </x:row>
    <x:row r="16">
      <x:c r="A16" s="39" t="n">
        <x:v>3</x:v>
      </x:c>
      <x:c r="B16" s="33" t="str">
        <x:v>John Terry</x:v>
      </x:c>
      <x:c r="C16" s="10" t="str">
        <x:v>eng ENG</x:v>
      </x:c>
      <x:c r="D16" s="10" t="str">
        <x:v>DF</x:v>
      </x:c>
      <x:c r="E16" s="10" t="n">
        <x:v>32</x:v>
      </x:c>
      <x:c r="F16" s="10" t="n">
        <x:v>34</x:v>
      </x:c>
      <x:c r="G16" s="10" t="n">
        <x:v>34</x:v>
      </x:c>
      <x:c r="H16" s="10" t="n">
        <x:v>3060</x:v>
      </x:c>
      <x:c r="I16" s="10" t="n">
        <x:v>34</x:v>
      </x:c>
      <x:c r="J16" s="10" t="n">
        <x:v>2</x:v>
      </x:c>
      <x:c r="K16" s="10" t="n">
        <x:v>1</x:v>
      </x:c>
      <x:c r="L16" s="34" t="n">
        <x:v>3</x:v>
      </x:c>
    </x:row>
    <x:row r="17">
      <x:c r="A17" s="39" t="n">
        <x:v>4</x:v>
      </x:c>
      <x:c r="B17" s="33" t="str">
        <x:v>Eden Hazard</x:v>
      </x:c>
      <x:c r="C17" s="10" t="str">
        <x:v>be BEL</x:v>
      </x:c>
      <x:c r="D17" s="10" t="str">
        <x:v>FW,MF</x:v>
      </x:c>
      <x:c r="E17" s="10" t="n">
        <x:v>22</x:v>
      </x:c>
      <x:c r="F17" s="10" t="n">
        <x:v>35</x:v>
      </x:c>
      <x:c r="G17" s="10" t="n">
        <x:v>32</x:v>
      </x:c>
      <x:c r="H17" s="10" t="n">
        <x:v>2887</x:v>
      </x:c>
      <x:c r="I17" s="10" t="n">
        <x:v>32.1</x:v>
      </x:c>
      <x:c r="J17" s="10" t="n">
        <x:v>14</x:v>
      </x:c>
      <x:c r="K17" s="10" t="n">
        <x:v>7</x:v>
      </x:c>
      <x:c r="L17" s="34" t="n">
        <x:v>21</x:v>
      </x:c>
    </x:row>
    <x:row r="18">
      <x:c r="A18" s="39" t="n">
        <x:v>5</x:v>
      </x:c>
      <x:c r="B18" s="33" t="str">
        <x:v>Gary Cahill</x:v>
      </x:c>
      <x:c r="C18" s="10" t="str">
        <x:v>eng ENG</x:v>
      </x:c>
      <x:c r="D18" s="10" t="str">
        <x:v>DF</x:v>
      </x:c>
      <x:c r="E18" s="10" t="n">
        <x:v>27</x:v>
      </x:c>
      <x:c r="F18" s="10" t="n">
        <x:v>30</x:v>
      </x:c>
      <x:c r="G18" s="10" t="n">
        <x:v>29</x:v>
      </x:c>
      <x:c r="H18" s="10" t="n">
        <x:v>2624</x:v>
      </x:c>
      <x:c r="I18" s="10" t="n">
        <x:v>29.2</x:v>
      </x:c>
      <x:c r="J18" s="10" t="n">
        <x:v>1</x:v>
      </x:c>
      <x:c r="K18" s="10" t="n">
        <x:v>1</x:v>
      </x:c>
      <x:c r="L18" s="34" t="n">
        <x:v>2</x:v>
      </x:c>
    </x:row>
    <x:row r="19">
      <x:c r="A19" s="39" t="n">
        <x:v>6</x:v>
      </x:c>
      <x:c r="B19" s="33" t="str">
        <x:v>Ramires</x:v>
      </x:c>
      <x:c r="C19" s="10" t="str">
        <x:v>br BRA</x:v>
      </x:c>
      <x:c r="D19" s="10" t="str">
        <x:v>MF</x:v>
      </x:c>
      <x:c r="E19" s="10" t="n">
        <x:v>26</x:v>
      </x:c>
      <x:c r="F19" s="10" t="n">
        <x:v>30</x:v>
      </x:c>
      <x:c r="G19" s="10" t="n">
        <x:v>29</x:v>
      </x:c>
      <x:c r="H19" s="10" t="n">
        <x:v>2604</x:v>
      </x:c>
      <x:c r="I19" s="10" t="n">
        <x:v>28.9</x:v>
      </x:c>
      <x:c r="J19" s="10" t="n">
        <x:v>1</x:v>
      </x:c>
      <x:c r="K19" s="10" t="n">
        <x:v>2</x:v>
      </x:c>
      <x:c r="L19" s="34" t="n">
        <x:v>3</x:v>
      </x:c>
    </x:row>
    <x:row r="20">
      <x:c r="A20" s="39" t="n">
        <x:v>7</x:v>
      </x:c>
      <x:c r="B20" s="33" t="str">
        <x:v>César Azpilicueta</x:v>
      </x:c>
      <x:c r="C20" s="10" t="str">
        <x:v>es ESP</x:v>
      </x:c>
      <x:c r="D20" s="10" t="str">
        <x:v>DF,MF</x:v>
      </x:c>
      <x:c r="E20" s="10" t="n">
        <x:v>23</x:v>
      </x:c>
      <x:c r="F20" s="10" t="n">
        <x:v>29</x:v>
      </x:c>
      <x:c r="G20" s="10" t="n">
        <x:v>26</x:v>
      </x:c>
      <x:c r="H20" s="10" t="n">
        <x:v>2325</x:v>
      </x:c>
      <x:c r="I20" s="10" t="n">
        <x:v>25.8</x:v>
      </x:c>
      <x:c r="J20" s="10" t="n">
        <x:v>0</x:v>
      </x:c>
      <x:c r="K20" s="10" t="n">
        <x:v>0</x:v>
      </x:c>
      <x:c r="L20" s="34" t="n">
        <x:v>0</x:v>
      </x:c>
    </x:row>
    <x:row r="21">
      <x:c r="A21" s="39" t="n">
        <x:v>8</x:v>
      </x:c>
      <x:c r="B21" s="33" t="str">
        <x:v>Oscar</x:v>
      </x:c>
      <x:c r="C21" s="10" t="str">
        <x:v>br BRA</x:v>
      </x:c>
      <x:c r="D21" s="10" t="str">
        <x:v>FW,MF</x:v>
      </x:c>
      <x:c r="E21" s="10" t="n">
        <x:v>21</x:v>
      </x:c>
      <x:c r="F21" s="10" t="n">
        <x:v>33</x:v>
      </x:c>
      <x:c r="G21" s="10" t="n">
        <x:v>24</x:v>
      </x:c>
      <x:c r="H21" s="10" t="n">
        <x:v>2134</x:v>
      </x:c>
      <x:c r="I21" s="10" t="n">
        <x:v>23.7</x:v>
      </x:c>
      <x:c r="J21" s="10" t="n">
        <x:v>8</x:v>
      </x:c>
      <x:c r="K21" s="10" t="n">
        <x:v>2</x:v>
      </x:c>
      <x:c r="L21" s="34" t="n">
        <x:v>10</x:v>
      </x:c>
    </x:row>
    <x:row r="22">
      <x:c r="A22" s="39" t="n">
        <x:v>9</x:v>
      </x:c>
      <x:c r="B22" s="33" t="str">
        <x:v>Frank Lampard</x:v>
      </x:c>
      <x:c r="C22" s="10" t="str">
        <x:v>eng ENG</x:v>
      </x:c>
      <x:c r="D22" s="10" t="str">
        <x:v>MF</x:v>
      </x:c>
      <x:c r="E22" s="10" t="n">
        <x:v>35</x:v>
      </x:c>
      <x:c r="F22" s="10" t="n">
        <x:v>26</x:v>
      </x:c>
      <x:c r="G22" s="10" t="n">
        <x:v>20</x:v>
      </x:c>
      <x:c r="H22" s="10" t="n">
        <x:v>1703</x:v>
      </x:c>
      <x:c r="I22" s="10" t="n">
        <x:v>18.9</x:v>
      </x:c>
      <x:c r="J22" s="10" t="n">
        <x:v>6</x:v>
      </x:c>
      <x:c r="K22" s="10" t="n">
        <x:v>3</x:v>
      </x:c>
      <x:c r="L22" s="34" t="n">
        <x:v>9</x:v>
      </x:c>
    </x:row>
    <x:row r="23">
      <x:c r="A23" s="39" t="n">
        <x:v>10</x:v>
      </x:c>
      <x:c r="B23" s="33" t="str">
        <x:v>Willian</x:v>
      </x:c>
      <x:c r="C23" s="10" t="str">
        <x:v>br BRA</x:v>
      </x:c>
      <x:c r="D23" s="10" t="str">
        <x:v>FW,MF</x:v>
      </x:c>
      <x:c r="E23" s="10" t="n">
        <x:v>24</x:v>
      </x:c>
      <x:c r="F23" s="10" t="n">
        <x:v>25</x:v>
      </x:c>
      <x:c r="G23" s="10" t="n">
        <x:v>18</x:v>
      </x:c>
      <x:c r="H23" s="10" t="n">
        <x:v>1674</x:v>
      </x:c>
      <x:c r="I23" s="10" t="n">
        <x:v>18.6</x:v>
      </x:c>
      <x:c r="J23" s="10" t="n">
        <x:v>4</x:v>
      </x:c>
      <x:c r="K23" s="10" t="n">
        <x:v>2</x:v>
      </x:c>
      <x:c r="L23" s="34" t="n">
        <x:v>6</x:v>
      </x:c>
    </x:row>
    <x:row r="24">
      <x:c r="A24" s="39" t="n">
        <x:v>11</x:v>
      </x:c>
      <x:c r="B24" s="33" t="str">
        <x:v>Fernando Torres</x:v>
      </x:c>
      <x:c r="C24" s="10" t="str">
        <x:v>es ESP</x:v>
      </x:c>
      <x:c r="D24" s="10" t="str">
        <x:v>FW</x:v>
      </x:c>
      <x:c r="E24" s="10" t="n">
        <x:v>29</x:v>
      </x:c>
      <x:c r="F24" s="10" t="n">
        <x:v>28</x:v>
      </x:c>
      <x:c r="G24" s="10" t="n">
        <x:v>16</x:v>
      </x:c>
      <x:c r="H24" s="10" t="n">
        <x:v>1574</x:v>
      </x:c>
      <x:c r="I24" s="10" t="n">
        <x:v>17.5</x:v>
      </x:c>
      <x:c r="J24" s="10" t="n">
        <x:v>5</x:v>
      </x:c>
      <x:c r="K24" s="10" t="n">
        <x:v>5</x:v>
      </x:c>
      <x:c r="L24" s="34" t="n">
        <x:v>10</x:v>
      </x:c>
    </x:row>
    <x:row r="25">
      <x:c r="A25" s="39" t="n">
        <x:v>12</x:v>
      </x:c>
      <x:c r="B25" s="33" t="str">
        <x:v>Samuel Eto'o</x:v>
      </x:c>
      <x:c r="C25" s="10" t="str">
        <x:v>cm CMR</x:v>
      </x:c>
      <x:c r="D25" s="10" t="str">
        <x:v>FW</x:v>
      </x:c>
      <x:c r="E25" s="10" t="n">
        <x:v>32</x:v>
      </x:c>
      <x:c r="F25" s="10" t="n">
        <x:v>21</x:v>
      </x:c>
      <x:c r="G25" s="10" t="n">
        <x:v>16</x:v>
      </x:c>
      <x:c r="H25" s="10" t="n">
        <x:v>1298</x:v>
      </x:c>
      <x:c r="I25" s="10" t="n">
        <x:v>14.4</x:v>
      </x:c>
      <x:c r="J25" s="10" t="n">
        <x:v>9</x:v>
      </x:c>
      <x:c r="K25" s="10" t="n">
        <x:v>2</x:v>
      </x:c>
      <x:c r="L25" s="34" t="n">
        <x:v>11</x:v>
      </x:c>
    </x:row>
    <x:row r="26">
      <x:c r="A26" s="39" t="n">
        <x:v>13</x:v>
      </x:c>
      <x:c r="B26" s="33" t="str">
        <x:v>Ashley Cole</x:v>
      </x:c>
      <x:c r="C26" s="10" t="str">
        <x:v>eng ENG</x:v>
      </x:c>
      <x:c r="D26" s="10" t="str">
        <x:v>DF</x:v>
      </x:c>
      <x:c r="E26" s="10" t="n">
        <x:v>32</x:v>
      </x:c>
      <x:c r="F26" s="10" t="n">
        <x:v>17</x:v>
      </x:c>
      <x:c r="G26" s="10" t="n">
        <x:v>15</x:v>
      </x:c>
      <x:c r="H26" s="10" t="n">
        <x:v>1386</x:v>
      </x:c>
      <x:c r="I26" s="10" t="n">
        <x:v>15.4</x:v>
      </x:c>
      <x:c r="J26" s="10" t="n">
        <x:v>0</x:v>
      </x:c>
      <x:c r="K26" s="10" t="n">
        <x:v>2</x:v>
      </x:c>
      <x:c r="L26" s="34" t="n">
        <x:v>2</x:v>
      </x:c>
    </x:row>
    <x:row r="27">
      <x:c r="A27" s="39" t="n">
        <x:v>14</x:v>
      </x:c>
      <x:c r="B27" s="33" t="str">
        <x:v>Nemanja Matić</x:v>
      </x:c>
      <x:c r="C27" s="10" t="str">
        <x:v>rs SRB</x:v>
      </x:c>
      <x:c r="D27" s="10" t="str">
        <x:v>MF</x:v>
      </x:c>
      <x:c r="E27" s="10" t="n">
        <x:v>24</x:v>
      </x:c>
      <x:c r="F27" s="10" t="n">
        <x:v>17</x:v>
      </x:c>
      <x:c r="G27" s="10" t="n">
        <x:v>15</x:v>
      </x:c>
      <x:c r="H27" s="10" t="n">
        <x:v>1365</x:v>
      </x:c>
      <x:c r="I27" s="10" t="n">
        <x:v>15.2</x:v>
      </x:c>
      <x:c r="J27" s="10" t="n">
        <x:v>0</x:v>
      </x:c>
      <x:c r="K27" s="10" t="n">
        <x:v>4</x:v>
      </x:c>
      <x:c r="L27" s="34" t="n">
        <x:v>4</x:v>
      </x:c>
    </x:row>
    <x:row r="28">
      <x:c r="A28" s="39" t="n">
        <x:v>15</x:v>
      </x:c>
      <x:c r="B28" s="33" t="str">
        <x:v>David Luiz</x:v>
      </x:c>
      <x:c r="C28" s="10" t="str">
        <x:v>br BRA</x:v>
      </x:c>
      <x:c r="D28" s="10" t="str">
        <x:v>DF,MF</x:v>
      </x:c>
      <x:c r="E28" s="10" t="n">
        <x:v>26</x:v>
      </x:c>
      <x:c r="F28" s="10" t="n">
        <x:v>19</x:v>
      </x:c>
      <x:c r="G28" s="10" t="n">
        <x:v>15</x:v>
      </x:c>
      <x:c r="H28" s="10" t="n">
        <x:v>1360</x:v>
      </x:c>
      <x:c r="I28" s="10" t="n">
        <x:v>15.1</x:v>
      </x:c>
      <x:c r="J28" s="10" t="n">
        <x:v>0</x:v>
      </x:c>
      <x:c r="K28" s="10" t="n">
        <x:v>1</x:v>
      </x:c>
      <x:c r="L28" s="34" t="n">
        <x:v>1</x:v>
      </x:c>
    </x:row>
    <x:row r="29">
      <x:c r="A29" s="39" t="n">
        <x:v>16</x:v>
      </x:c>
      <x:c r="B29" s="33" t="str">
        <x:v>André Schürrle</x:v>
      </x:c>
      <x:c r="C29" s="10" t="str">
        <x:v>de GER</x:v>
      </x:c>
      <x:c r="D29" s="10" t="str">
        <x:v>FW,MF</x:v>
      </x:c>
      <x:c r="E29" s="10" t="n">
        <x:v>22</x:v>
      </x:c>
      <x:c r="F29" s="10" t="n">
        <x:v>30</x:v>
      </x:c>
      <x:c r="G29" s="10" t="n">
        <x:v>15</x:v>
      </x:c>
      <x:c r="H29" s="10" t="n">
        <x:v>1329</x:v>
      </x:c>
      <x:c r="I29" s="10" t="n">
        <x:v>14.8</x:v>
      </x:c>
      <x:c r="J29" s="10" t="n">
        <x:v>8</x:v>
      </x:c>
      <x:c r="K29" s="10" t="n">
        <x:v>2</x:v>
      </x:c>
      <x:c r="L29" s="34" t="n">
        <x:v>10</x:v>
      </x:c>
    </x:row>
    <x:row r="30">
      <x:c r="A30" s="39" t="n">
        <x:v>17</x:v>
      </x:c>
      <x:c r="B30" s="33" t="str">
        <x:v>John Obi Mikel</x:v>
      </x:c>
      <x:c r="C30" s="10" t="str">
        <x:v>ng NGA</x:v>
      </x:c>
      <x:c r="D30" s="10" t="str">
        <x:v>MF</x:v>
      </x:c>
      <x:c r="E30" s="10" t="n">
        <x:v>26</x:v>
      </x:c>
      <x:c r="F30" s="10" t="n">
        <x:v>24</x:v>
      </x:c>
      <x:c r="G30" s="10" t="n">
        <x:v>11</x:v>
      </x:c>
      <x:c r="H30" s="10" t="n">
        <x:v>1072</x:v>
      </x:c>
      <x:c r="I30" s="10" t="n">
        <x:v>11.9</x:v>
      </x:c>
      <x:c r="J30" s="10" t="n">
        <x:v>1</x:v>
      </x:c>
      <x:c r="K30" s="10" t="n">
        <x:v>1</x:v>
      </x:c>
      <x:c r="L30" s="34" t="n">
        <x:v>2</x:v>
      </x:c>
    </x:row>
    <x:row r="31">
      <x:c r="A31" s="39" t="n">
        <x:v>18</x:v>
      </x:c>
      <x:c r="B31" s="33" t="str">
        <x:v>Juan Mata</x:v>
      </x:c>
      <x:c r="C31" s="10" t="str">
        <x:v>es ESP</x:v>
      </x:c>
      <x:c r="D31" s="10" t="str">
        <x:v>FW,MF</x:v>
      </x:c>
      <x:c r="E31" s="10" t="n">
        <x:v>25</x:v>
      </x:c>
      <x:c r="F31" s="10" t="n">
        <x:v>13</x:v>
      </x:c>
      <x:c r="G31" s="10" t="n">
        <x:v>11</x:v>
      </x:c>
      <x:c r="H31" s="10" t="n">
        <x:v>826</x:v>
      </x:c>
      <x:c r="I31" s="10" t="n">
        <x:v>9.2</x:v>
      </x:c>
      <x:c r="J31" s="10" t="n">
        <x:v>0</x:v>
      </x:c>
      <x:c r="K31" s="10" t="n">
        <x:v>2</x:v>
      </x:c>
      <x:c r="L31" s="34" t="n">
        <x:v>2</x:v>
      </x:c>
    </x:row>
    <x:row r="32">
      <x:c r="A32" s="39" t="n">
        <x:v>19</x:v>
      </x:c>
      <x:c r="B32" s="33" t="str">
        <x:v>Mohamed Salah</x:v>
      </x:c>
      <x:c r="C32" s="10" t="str">
        <x:v>eg EGY</x:v>
      </x:c>
      <x:c r="D32" s="10" t="str">
        <x:v>FW,MF</x:v>
      </x:c>
      <x:c r="E32" s="10" t="n">
        <x:v>21</x:v>
      </x:c>
      <x:c r="F32" s="10" t="n">
        <x:v>10</x:v>
      </x:c>
      <x:c r="G32" s="10" t="n">
        <x:v>6</x:v>
      </x:c>
      <x:c r="H32" s="10" t="n">
        <x:v>501</x:v>
      </x:c>
      <x:c r="I32" s="10" t="n">
        <x:v>5.6</x:v>
      </x:c>
      <x:c r="J32" s="10" t="n">
        <x:v>2</x:v>
      </x:c>
      <x:c r="K32" s="10" t="n">
        <x:v>1</x:v>
      </x:c>
      <x:c r="L32" s="34" t="n">
        <x:v>3</x:v>
      </x:c>
    </x:row>
    <x:row r="33">
      <x:c r="A33" s="39" t="n">
        <x:v>20</x:v>
      </x:c>
      <x:c r="B33" s="33" t="str">
        <x:v>Demba Ba</x:v>
      </x:c>
      <x:c r="C33" s="10" t="str">
        <x:v>sn SEN</x:v>
      </x:c>
      <x:c r="D33" s="10" t="str">
        <x:v>FW</x:v>
      </x:c>
      <x:c r="E33" s="10" t="n">
        <x:v>28</x:v>
      </x:c>
      <x:c r="F33" s="10" t="n">
        <x:v>19</x:v>
      </x:c>
      <x:c r="G33" s="10" t="n">
        <x:v>5</x:v>
      </x:c>
      <x:c r="H33" s="10" t="n">
        <x:v>669</x:v>
      </x:c>
      <x:c r="I33" s="10" t="n">
        <x:v>7.4</x:v>
      </x:c>
      <x:c r="J33" s="10" t="n">
        <x:v>5</x:v>
      </x:c>
      <x:c r="K33" s="10" t="n">
        <x:v>1</x:v>
      </x:c>
      <x:c r="L33" s="34" t="n">
        <x:v>6</x:v>
      </x:c>
    </x:row>
    <x:row r="34">
      <x:c r="A34" s="39" t="n">
        <x:v>21</x:v>
      </x:c>
      <x:c r="B34" s="33" t="str">
        <x:v>Mark Schwarzer</x:v>
      </x:c>
      <x:c r="C34" s="10" t="str">
        <x:v>au AUS</x:v>
      </x:c>
      <x:c r="D34" s="10" t="str">
        <x:v>GK</x:v>
      </x:c>
      <x:c r="E34" s="10" t="n">
        <x:v>40</x:v>
      </x:c>
      <x:c r="F34" s="10" t="n">
        <x:v>4</x:v>
      </x:c>
      <x:c r="G34" s="10" t="n">
        <x:v>4</x:v>
      </x:c>
      <x:c r="H34" s="10" t="n">
        <x:v>360</x:v>
      </x:c>
      <x:c r="I34" s="10" t="n">
        <x:v>4</x:v>
      </x:c>
      <x:c r="J34" s="10" t="n">
        <x:v>0</x:v>
      </x:c>
      <x:c r="K34" s="10" t="n">
        <x:v>0</x:v>
      </x:c>
      <x:c r="L34" s="34" t="n">
        <x:v>0</x:v>
      </x:c>
    </x:row>
    <x:row r="35">
      <x:c r="A35" s="39" t="n">
        <x:v>22</x:v>
      </x:c>
      <x:c r="B35" s="33" t="str">
        <x:v>Tomáš Kalas</x:v>
      </x:c>
      <x:c r="C35" s="10" t="str">
        <x:v>cz CZE</x:v>
      </x:c>
      <x:c r="D35" s="10" t="str">
        <x:v>DF</x:v>
      </x:c>
      <x:c r="E35" s="10" t="n">
        <x:v>20</x:v>
      </x:c>
      <x:c r="F35" s="10" t="n">
        <x:v>2</x:v>
      </x:c>
      <x:c r="G35" s="10" t="n">
        <x:v>2</x:v>
      </x:c>
      <x:c r="H35" s="10" t="n">
        <x:v>180</x:v>
      </x:c>
      <x:c r="I35" s="10" t="n">
        <x:v>2</x:v>
      </x:c>
      <x:c r="J35" s="10" t="n">
        <x:v>0</x:v>
      </x:c>
      <x:c r="K35" s="10" t="n">
        <x:v>0</x:v>
      </x:c>
      <x:c r="L35" s="34" t="n">
        <x:v>0</x:v>
      </x:c>
    </x:row>
    <x:row r="36">
      <x:c r="A36" s="39" t="n">
        <x:v>23</x:v>
      </x:c>
      <x:c r="B36" s="33" t="str">
        <x:v>Michael Essien</x:v>
      </x:c>
      <x:c r="C36" s="10" t="str">
        <x:v>gh GHA</x:v>
      </x:c>
      <x:c r="D36" s="10" t="str">
        <x:v>DF,MF</x:v>
      </x:c>
      <x:c r="E36" s="10" t="n">
        <x:v>30</x:v>
      </x:c>
      <x:c r="F36" s="10" t="n">
        <x:v>5</x:v>
      </x:c>
      <x:c r="G36" s="10" t="n">
        <x:v>2</x:v>
      </x:c>
      <x:c r="H36" s="10" t="n">
        <x:v>149</x:v>
      </x:c>
      <x:c r="I36" s="10" t="n">
        <x:v>1.7</x:v>
      </x:c>
      <x:c r="J36" s="10" t="n">
        <x:v>0</x:v>
      </x:c>
      <x:c r="K36" s="10" t="n">
        <x:v>0</x:v>
      </x:c>
      <x:c r="L36" s="34" t="n">
        <x:v>0</x:v>
      </x:c>
    </x:row>
    <x:row r="37">
      <x:c r="A37" s="39" t="n">
        <x:v>24</x:v>
      </x:c>
      <x:c r="B37" s="33" t="str">
        <x:v>Kevin De Bruyne</x:v>
      </x:c>
      <x:c r="C37" s="10" t="str">
        <x:v>be BEL</x:v>
      </x:c>
      <x:c r="D37" s="10" t="str">
        <x:v>FW,MF</x:v>
      </x:c>
      <x:c r="E37" s="10" t="n">
        <x:v>22</x:v>
      </x:c>
      <x:c r="F37" s="10" t="n">
        <x:v>3</x:v>
      </x:c>
      <x:c r="G37" s="10" t="n">
        <x:v>2</x:v>
      </x:c>
      <x:c r="H37" s="10" t="n">
        <x:v>131</x:v>
      </x:c>
      <x:c r="I37" s="10" t="n">
        <x:v>1.5</x:v>
      </x:c>
      <x:c r="J37" s="10" t="n">
        <x:v>0</x:v>
      </x:c>
      <x:c r="K37" s="10" t="n">
        <x:v>1</x:v>
      </x:c>
      <x:c r="L37" s="34" t="n">
        <x:v>1</x:v>
      </x:c>
    </x:row>
    <x:row r="38">
      <x:c r="A38" s="39" t="n">
        <x:v>25</x:v>
      </x:c>
      <x:c r="B38" s="33" t="str">
        <x:v>Ryan Bertrand</x:v>
      </x:c>
      <x:c r="C38" s="10" t="str">
        <x:v>eng ENG</x:v>
      </x:c>
      <x:c r="D38" s="10" t="str">
        <x:v>DF,MF</x:v>
      </x:c>
      <x:c r="E38" s="10" t="n">
        <x:v>23</x:v>
      </x:c>
      <x:c r="F38" s="10" t="n">
        <x:v>1</x:v>
      </x:c>
      <x:c r="G38" s="10" t="n">
        <x:v>1</x:v>
      </x:c>
      <x:c r="H38" s="10" t="n">
        <x:v>63</x:v>
      </x:c>
      <x:c r="I38" s="10" t="n">
        <x:v>0.7</x:v>
      </x:c>
      <x:c r="J38" s="10" t="n">
        <x:v>0</x:v>
      </x:c>
      <x:c r="K38" s="10" t="n">
        <x:v>0</x:v>
      </x:c>
      <x:c r="L38" s="34" t="n">
        <x:v>0</x:v>
      </x:c>
    </x:row>
    <x:row r="39">
      <x:c r="A39" s="39" t="n">
        <x:v>26</x:v>
      </x:c>
      <x:c r="B39" s="33" t="str">
        <x:v>Romelu Lukaku</x:v>
      </x:c>
      <x:c r="C39" s="10" t="str">
        <x:v>be BEL</x:v>
      </x:c>
      <x:c r="D39" s="10" t="str">
        <x:v>FW</x:v>
      </x:c>
      <x:c r="E39" s="10" t="n">
        <x:v>20</x:v>
      </x:c>
      <x:c r="F39" s="10" t="n">
        <x:v>2</x:v>
      </x:c>
      <x:c r="G39" s="10" t="n">
        <x:v>0</x:v>
      </x:c>
      <x:c r="H39" s="10" t="n">
        <x:v>42</x:v>
      </x:c>
      <x:c r="I39" s="10" t="n">
        <x:v>0.5</x:v>
      </x:c>
      <x:c r="J39" s="10" t="n">
        <x:v>0</x:v>
      </x:c>
      <x:c r="K39" s="10" t="n">
        <x:v>0</x:v>
      </x:c>
      <x:c r="L39" s="34" t="n">
        <x:v>0</x:v>
      </x:c>
    </x:row>
    <x:row r="40">
      <x:c r="A40" s="39" t="n">
        <x:v>27</x:v>
      </x:c>
      <x:c r="B40" s="33" t="str">
        <x:v>Marco van Ginkel</x:v>
      </x:c>
      <x:c r="C40" s="10" t="str">
        <x:v>nl NED</x:v>
      </x:c>
      <x:c r="D40" s="10" t="str">
        <x:v>MF</x:v>
      </x:c>
      <x:c r="E40" s="10" t="n">
        <x:v>20</x:v>
      </x:c>
      <x:c r="F40" s="10" t="n">
        <x:v>2</x:v>
      </x:c>
      <x:c r="G40" s="10" t="n">
        <x:v>0</x:v>
      </x:c>
      <x:c r="H40" s="10" t="n">
        <x:v>13</x:v>
      </x:c>
      <x:c r="I40" s="10" t="n">
        <x:v>0.1</x:v>
      </x:c>
      <x:c r="J40" s="10" t="n">
        <x:v>0</x:v>
      </x:c>
      <x:c r="K40" s="10" t="n">
        <x:v>0</x:v>
      </x:c>
      <x:c r="L40" s="34" t="n">
        <x:v>0</x:v>
      </x:c>
    </x:row>
    <x:row r="41">
      <x:c r="A41" s="39" t="n">
        <x:v>28</x:v>
      </x:c>
      <x:c r="B41" s="33" t="str">
        <x:v>Nathan Aké</x:v>
      </x:c>
      <x:c r="C41" s="10" t="str">
        <x:v>nl NED</x:v>
      </x:c>
      <x:c r="D41" s="10" t="str">
        <x:v>DF,MF</x:v>
      </x:c>
      <x:c r="E41" s="10" t="n">
        <x:v>18</x:v>
      </x:c>
      <x:c r="F41" s="10" t="n">
        <x:v>1</x:v>
      </x:c>
      <x:c r="G41" s="10" t="n">
        <x:v>0</x:v>
      </x:c>
      <x:c r="H41" s="10" t="n">
        <x:v>12</x:v>
      </x:c>
      <x:c r="I41" s="10" t="n">
        <x:v>0.1</x:v>
      </x:c>
      <x:c r="J41" s="10" t="n">
        <x:v>0</x:v>
      </x:c>
      <x:c r="K41" s="10" t="n">
        <x:v>0</x:v>
      </x:c>
      <x:c r="L41" s="34" t="n">
        <x:v>0</x:v>
      </x:c>
    </x:row>
    <x:row r="42">
      <x:c r="A42" s="39" t="n">
        <x:v>29</x:v>
      </x:c>
      <x:c r="B42" s="33" t="str">
        <x:v>John Swift</x:v>
      </x:c>
      <x:c r="C42" s="10" t="str">
        <x:v>eng ENG</x:v>
      </x:c>
      <x:c r="D42" s="10" t="str">
        <x:v>FW,MF</x:v>
      </x:c>
      <x:c r="E42" s="10" t="n">
        <x:v>18</x:v>
      </x:c>
      <x:c r="F42" s="10" t="n">
        <x:v>1</x:v>
      </x:c>
      <x:c r="G42" s="10" t="n">
        <x:v>0</x:v>
      </x:c>
      <x:c r="H42" s="10" t="n">
        <x:v>2</x:v>
      </x:c>
      <x:c r="I42" s="10" t="n">
        <x:v>0</x:v>
      </x:c>
      <x:c r="J42" s="10" t="n">
        <x:v>0</x:v>
      </x:c>
      <x:c r="K42" s="10" t="n">
        <x:v>0</x:v>
      </x:c>
      <x:c r="L42" s="34" t="n">
        <x:v>0</x:v>
      </x:c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05</x:v>
      </x:c>
      <x:c r="B1" s="4" t="str">
        <x:v>PAGE302 — CLUB DATA COLLECTION — SLOT 05</x:v>
      </x:c>
      <x:c r="C1" s="4" t="str">
        <x:v>PAGE302 — CLUB DATA COLLECTION — SLOT 05</x:v>
      </x:c>
      <x:c r="D1" s="4" t="str">
        <x:v>PAGE302 — CLUB DATA COLLECTION — SLOT 05</x:v>
      </x:c>
      <x:c r="E1" s="4" t="str">
        <x:v>PAGE302 — CLUB DATA COLLECTION — SLOT 05</x:v>
      </x:c>
      <x:c r="F1" s="4" t="str">
        <x:v>PAGE302 — CLUB DATA COLLECTION — SLOT 05</x:v>
      </x:c>
      <x:c r="G1" s="4" t="str">
        <x:v>PAGE302 — CLUB DATA COLLECTION — SLOT 05</x:v>
      </x:c>
      <x:c r="H1" s="4" t="str">
        <x:v>PAGE302 — CLUB DATA COLLECTION — SLOT 05</x:v>
      </x:c>
      <x:c r="I1" s="4" t="str">
        <x:v>PAGE302 — CLUB DATA COLLECTION — SLOT 05</x:v>
      </x:c>
      <x:c r="J1" s="4" t="str">
        <x:v>PAGE302 — CLUB DATA COLLECTION — SLOT 05</x:v>
      </x:c>
      <x:c r="K1" s="4" t="str">
        <x:v>PAGE302 — CLUB DATA COLLECTION — SLOT 05</x:v>
      </x:c>
      <x:c r="L1" s="4" t="str">
        <x:v>PAGE302 — CLUB DATA COLLECTION — SLOT 05</x:v>
      </x:c>
    </x:row>
    <x:row r="3">
      <x:c r="A3" s="12" t="str">
        <x:v>TEAM CODE:</x:v>
      </x:c>
      <x:c r="B3" s="23" t="str">
        <x:f>IF('Pack Planner'!$E$15="","",'Pack Planner'!$E$15)</x:f>
        <x:v>NEW0203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Planner'!$C$15="","",'Pack Planner'!$C$15)</x:f>
        <x:v>Newcastle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Planner'!$D$15="","",'Pack Planner'!$D$15)</x:f>
        <x:v>2002-03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Planner'!$B$15</x:f>
        <x:v>Other current Premier League club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 t="str">
        <x:v>https://fbref.com/en/squads/b2b47a98/2002-2003/Newcastle-United-Stats</x:v>
      </x:c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 t="str">
        <x:v>Bobby Robson</x:v>
      </x:c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 t="n">
        <x:v>38</x:v>
      </x:c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 t="str">
        <x:v>Shay Given</x:v>
      </x:c>
      <x:c r="C14" s="31" t="str">
        <x:v>ie IRL</x:v>
      </x:c>
      <x:c r="D14" s="31" t="str">
        <x:v>GK</x:v>
      </x:c>
      <x:c r="E14" s="31" t="n">
        <x:v>26</x:v>
      </x:c>
      <x:c r="F14" s="31" t="n">
        <x:v>38</x:v>
      </x:c>
      <x:c r="G14" s="31" t="n">
        <x:v>38</x:v>
      </x:c>
      <x:c r="H14" s="31" t="n">
        <x:v>3420</x:v>
      </x:c>
      <x:c r="I14" s="31" t="n">
        <x:v>38</x:v>
      </x:c>
      <x:c r="J14" s="31" t="n">
        <x:v>0</x:v>
      </x:c>
      <x:c r="K14" s="31" t="n">
        <x:v>0</x:v>
      </x:c>
      <x:c r="L14" s="32" t="n">
        <x:v>0</x:v>
      </x:c>
    </x:row>
    <x:row r="15">
      <x:c r="A15" s="39" t="n">
        <x:v>2</x:v>
      </x:c>
      <x:c r="B15" s="33" t="str">
        <x:v>Aaron Hughes</x:v>
      </x:c>
      <x:c r="C15" s="10" t="str">
        <x:v>nir NIR</x:v>
      </x:c>
      <x:c r="D15" s="10" t="str">
        <x:v>DF</x:v>
      </x:c>
      <x:c r="E15" s="10" t="n">
        <x:v>22</x:v>
      </x:c>
      <x:c r="F15" s="10" t="n">
        <x:v>35</x:v>
      </x:c>
      <x:c r="G15" s="10" t="n">
        <x:v>35</x:v>
      </x:c>
      <x:c r="H15" s="10" t="n">
        <x:v>3139</x:v>
      </x:c>
      <x:c r="I15" s="10" t="n">
        <x:v>34.9</x:v>
      </x:c>
      <x:c r="J15" s="10" t="n">
        <x:v>1</x:v>
      </x:c>
      <x:c r="K15" s="10" t="n">
        <x:v>1</x:v>
      </x:c>
      <x:c r="L15" s="34" t="n">
        <x:v>2</x:v>
      </x:c>
    </x:row>
    <x:row r="16">
      <x:c r="A16" s="39" t="n">
        <x:v>3</x:v>
      </x:c>
      <x:c r="B16" s="33" t="str">
        <x:v>Alan Shearer</x:v>
      </x:c>
      <x:c r="C16" s="10" t="str">
        <x:v>eng ENG</x:v>
      </x:c>
      <x:c r="D16" s="10" t="str">
        <x:v>FW</x:v>
      </x:c>
      <x:c r="E16" s="10" t="n">
        <x:v>31</x:v>
      </x:c>
      <x:c r="F16" s="10" t="n">
        <x:v>35</x:v>
      </x:c>
      <x:c r="G16" s="10" t="n">
        <x:v>35</x:v>
      </x:c>
      <x:c r="H16" s="10" t="n">
        <x:v>3062</x:v>
      </x:c>
      <x:c r="I16" s="10" t="n">
        <x:v>34</x:v>
      </x:c>
      <x:c r="J16" s="10" t="n">
        <x:v>17</x:v>
      </x:c>
      <x:c r="K16" s="10" t="n">
        <x:v>4</x:v>
      </x:c>
      <x:c r="L16" s="34" t="n">
        <x:v>21</x:v>
      </x:c>
    </x:row>
    <x:row r="17">
      <x:c r="A17" s="39" t="n">
        <x:v>4</x:v>
      </x:c>
      <x:c r="B17" s="33" t="str">
        <x:v>Kieron Dyer</x:v>
      </x:c>
      <x:c r="C17" s="10" t="str">
        <x:v>eng ENG</x:v>
      </x:c>
      <x:c r="D17" s="10" t="str">
        <x:v>MF</x:v>
      </x:c>
      <x:c r="E17" s="10" t="n">
        <x:v>23</x:v>
      </x:c>
      <x:c r="F17" s="10" t="n">
        <x:v>35</x:v>
      </x:c>
      <x:c r="G17" s="10" t="n">
        <x:v>33</x:v>
      </x:c>
      <x:c r="H17" s="10" t="n">
        <x:v>2948</x:v>
      </x:c>
      <x:c r="I17" s="10" t="n">
        <x:v>32.8</x:v>
      </x:c>
      <x:c r="J17" s="10" t="n">
        <x:v>2</x:v>
      </x:c>
      <x:c r="K17" s="10" t="n">
        <x:v>4</x:v>
      </x:c>
      <x:c r="L17" s="34" t="n">
        <x:v>6</x:v>
      </x:c>
    </x:row>
    <x:row r="18">
      <x:c r="A18" s="39" t="n">
        <x:v>5</x:v>
      </x:c>
      <x:c r="B18" s="33" t="str">
        <x:v>Nolberto Solano</x:v>
      </x:c>
      <x:c r="C18" s="10" t="str">
        <x:v>pe PER</x:v>
      </x:c>
      <x:c r="D18" s="10" t="str">
        <x:v>MF</x:v>
      </x:c>
      <x:c r="E18" s="10" t="n">
        <x:v>27</x:v>
      </x:c>
      <x:c r="F18" s="10" t="n">
        <x:v>31</x:v>
      </x:c>
      <x:c r="G18" s="10" t="n">
        <x:v>29</x:v>
      </x:c>
      <x:c r="H18" s="10" t="n">
        <x:v>2275</x:v>
      </x:c>
      <x:c r="I18" s="10" t="n">
        <x:v>25.3</x:v>
      </x:c>
      <x:c r="J18" s="10" t="n">
        <x:v>7</x:v>
      </x:c>
      <x:c r="K18" s="10" t="n">
        <x:v>6</x:v>
      </x:c>
      <x:c r="L18" s="34" t="n">
        <x:v>13</x:v>
      </x:c>
    </x:row>
    <x:row r="19">
      <x:c r="A19" s="39" t="n">
        <x:v>6</x:v>
      </x:c>
      <x:c r="B19" s="33" t="str">
        <x:v>Craig Bellamy</x:v>
      </x:c>
      <x:c r="C19" s="10" t="str">
        <x:v>wls WAL</x:v>
      </x:c>
      <x:c r="D19" s="10" t="str">
        <x:v>FW</x:v>
      </x:c>
      <x:c r="E19" s="10" t="n">
        <x:v>23</x:v>
      </x:c>
      <x:c r="F19" s="10" t="n">
        <x:v>29</x:v>
      </x:c>
      <x:c r="G19" s="10" t="n">
        <x:v>27</x:v>
      </x:c>
      <x:c r="H19" s="10" t="n">
        <x:v>2454</x:v>
      </x:c>
      <x:c r="I19" s="10" t="n">
        <x:v>27.3</x:v>
      </x:c>
      <x:c r="J19" s="10" t="n">
        <x:v>7</x:v>
      </x:c>
      <x:c r="K19" s="10" t="n">
        <x:v>5</x:v>
      </x:c>
      <x:c r="L19" s="34" t="n">
        <x:v>12</x:v>
      </x:c>
    </x:row>
    <x:row r="20">
      <x:c r="A20" s="39" t="n">
        <x:v>7</x:v>
      </x:c>
      <x:c r="B20" s="33" t="str">
        <x:v>Andy O'Brien</x:v>
      </x:c>
      <x:c r="C20" s="10" t="str">
        <x:v>ie IRL</x:v>
      </x:c>
      <x:c r="D20" s="10" t="str">
        <x:v>DF</x:v>
      </x:c>
      <x:c r="E20" s="10" t="n">
        <x:v>23</x:v>
      </x:c>
      <x:c r="F20" s="10" t="n">
        <x:v>26</x:v>
      </x:c>
      <x:c r="G20" s="10" t="n">
        <x:v>26</x:v>
      </x:c>
      <x:c r="H20" s="10" t="n">
        <x:v>2233</x:v>
      </x:c>
      <x:c r="I20" s="10" t="n">
        <x:v>24.8</x:v>
      </x:c>
      <x:c r="J20" s="10" t="n">
        <x:v>0</x:v>
      </x:c>
      <x:c r="K20" s="10" t="n">
        <x:v>0</x:v>
      </x:c>
      <x:c r="L20" s="34" t="n">
        <x:v>0</x:v>
      </x:c>
    </x:row>
    <x:row r="21">
      <x:c r="A21" s="39" t="n">
        <x:v>8</x:v>
      </x:c>
      <x:c r="B21" s="33" t="str">
        <x:v>Laurent Robert</x:v>
      </x:c>
      <x:c r="C21" s="10" t="str">
        <x:v>fr FRA</x:v>
      </x:c>
      <x:c r="D21" s="10" t="str">
        <x:v>FW,MF</x:v>
      </x:c>
      <x:c r="E21" s="10" t="n">
        <x:v>27</x:v>
      </x:c>
      <x:c r="F21" s="10" t="n">
        <x:v>27</x:v>
      </x:c>
      <x:c r="G21" s="10" t="n">
        <x:v>25</x:v>
      </x:c>
      <x:c r="H21" s="10" t="n">
        <x:v>2072</x:v>
      </x:c>
      <x:c r="I21" s="10" t="n">
        <x:v>23</x:v>
      </x:c>
      <x:c r="J21" s="10" t="n">
        <x:v>5</x:v>
      </x:c>
      <x:c r="K21" s="10" t="n">
        <x:v>7</x:v>
      </x:c>
      <x:c r="L21" s="34" t="n">
        <x:v>12</x:v>
      </x:c>
    </x:row>
    <x:row r="22">
      <x:c r="A22" s="39" t="n">
        <x:v>9</x:v>
      </x:c>
      <x:c r="B22" s="33" t="str">
        <x:v>Olivier Bernard</x:v>
      </x:c>
      <x:c r="C22" s="10" t="str">
        <x:v>fr FRA</x:v>
      </x:c>
      <x:c r="D22" s="10" t="str">
        <x:v>DF</x:v>
      </x:c>
      <x:c r="E22" s="10" t="n">
        <x:v>22</x:v>
      </x:c>
      <x:c r="F22" s="10" t="n">
        <x:v>30</x:v>
      </x:c>
      <x:c r="G22" s="10" t="n">
        <x:v>24</x:v>
      </x:c>
      <x:c r="H22" s="10" t="n">
        <x:v>2156</x:v>
      </x:c>
      <x:c r="I22" s="10" t="n">
        <x:v>24</x:v>
      </x:c>
      <x:c r="J22" s="10" t="n">
        <x:v>2</x:v>
      </x:c>
      <x:c r="K22" s="10" t="n">
        <x:v>0</x:v>
      </x:c>
      <x:c r="L22" s="34" t="n">
        <x:v>2</x:v>
      </x:c>
    </x:row>
    <x:row r="23">
      <x:c r="A23" s="39" t="n">
        <x:v>10</x:v>
      </x:c>
      <x:c r="B23" s="33" t="str">
        <x:v>Jermaine Jenas</x:v>
      </x:c>
      <x:c r="C23" s="10" t="str">
        <x:v>eng ENG</x:v>
      </x:c>
      <x:c r="D23" s="10" t="str">
        <x:v>MF</x:v>
      </x:c>
      <x:c r="E23" s="10" t="n">
        <x:v>19</x:v>
      </x:c>
      <x:c r="F23" s="10" t="n">
        <x:v>32</x:v>
      </x:c>
      <x:c r="G23" s="10" t="n">
        <x:v>23</x:v>
      </x:c>
      <x:c r="H23" s="10" t="n">
        <x:v>2273</x:v>
      </x:c>
      <x:c r="I23" s="10" t="n">
        <x:v>25.3</x:v>
      </x:c>
      <x:c r="J23" s="10" t="n">
        <x:v>6</x:v>
      </x:c>
      <x:c r="K23" s="10" t="n">
        <x:v>2</x:v>
      </x:c>
      <x:c r="L23" s="34" t="n">
        <x:v>8</x:v>
      </x:c>
    </x:row>
    <x:row r="24">
      <x:c r="A24" s="39" t="n">
        <x:v>11</x:v>
      </x:c>
      <x:c r="B24" s="33" t="str">
        <x:v>Gary Speed</x:v>
      </x:c>
      <x:c r="C24" s="10" t="str">
        <x:v>wls WAL</x:v>
      </x:c>
      <x:c r="D24" s="10" t="str">
        <x:v>MF</x:v>
      </x:c>
      <x:c r="E24" s="10" t="n">
        <x:v>32</x:v>
      </x:c>
      <x:c r="F24" s="10" t="n">
        <x:v>24</x:v>
      </x:c>
      <x:c r="G24" s="10" t="n">
        <x:v>23</x:v>
      </x:c>
      <x:c r="H24" s="10" t="n">
        <x:v>1958</x:v>
      </x:c>
      <x:c r="I24" s="10" t="n">
        <x:v>21.8</x:v>
      </x:c>
      <x:c r="J24" s="10" t="n">
        <x:v>2</x:v>
      </x:c>
      <x:c r="K24" s="10" t="n">
        <x:v>3</x:v>
      </x:c>
      <x:c r="L24" s="34" t="n">
        <x:v>5</x:v>
      </x:c>
    </x:row>
    <x:row r="25">
      <x:c r="A25" s="39" t="n">
        <x:v>12</x:v>
      </x:c>
      <x:c r="B25" s="33" t="str">
        <x:v>Andy Griffin</x:v>
      </x:c>
      <x:c r="C25" s="10" t="str">
        <x:v>eng ENG</x:v>
      </x:c>
      <x:c r="D25" s="10" t="str">
        <x:v>DF</x:v>
      </x:c>
      <x:c r="E25" s="10" t="n">
        <x:v>23</x:v>
      </x:c>
      <x:c r="F25" s="10" t="n">
        <x:v>27</x:v>
      </x:c>
      <x:c r="G25" s="10" t="n">
        <x:v>22</x:v>
      </x:c>
      <x:c r="H25" s="10" t="n">
        <x:v>2015</x:v>
      </x:c>
      <x:c r="I25" s="10" t="n">
        <x:v>22.4</x:v>
      </x:c>
      <x:c r="J25" s="10" t="n">
        <x:v>1</x:v>
      </x:c>
      <x:c r="K25" s="10" t="n">
        <x:v>1</x:v>
      </x:c>
      <x:c r="L25" s="34" t="n">
        <x:v>2</x:v>
      </x:c>
    </x:row>
    <x:row r="26">
      <x:c r="A26" s="39" t="n">
        <x:v>13</x:v>
      </x:c>
      <x:c r="B26" s="33" t="str">
        <x:v>Titus Bramble</x:v>
      </x:c>
      <x:c r="C26" s="10" t="str">
        <x:v>eng ENG</x:v>
      </x:c>
      <x:c r="D26" s="10" t="str">
        <x:v>DF</x:v>
      </x:c>
      <x:c r="E26" s="10" t="n">
        <x:v>21</x:v>
      </x:c>
      <x:c r="F26" s="10" t="n">
        <x:v>16</x:v>
      </x:c>
      <x:c r="G26" s="10" t="n">
        <x:v>13</x:v>
      </x:c>
      <x:c r="H26" s="10" t="n">
        <x:v>1241</x:v>
      </x:c>
      <x:c r="I26" s="10" t="n">
        <x:v>13.8</x:v>
      </x:c>
      <x:c r="J26" s="10" t="n">
        <x:v>0</x:v>
      </x:c>
      <x:c r="K26" s="10" t="n">
        <x:v>0</x:v>
      </x:c>
      <x:c r="L26" s="34" t="n">
        <x:v>0</x:v>
      </x:c>
    </x:row>
    <x:row r="27">
      <x:c r="A27" s="39" t="n">
        <x:v>14</x:v>
      </x:c>
      <x:c r="B27" s="33" t="str">
        <x:v>Nikos Dabizas</x:v>
      </x:c>
      <x:c r="C27" s="10" t="str">
        <x:v>gr GRE</x:v>
      </x:c>
      <x:c r="D27" s="10" t="str">
        <x:v>DF</x:v>
      </x:c>
      <x:c r="E27" s="10" t="n">
        <x:v>28</x:v>
      </x:c>
      <x:c r="F27" s="10" t="n">
        <x:v>16</x:v>
      </x:c>
      <x:c r="G27" s="10" t="n">
        <x:v>13</x:v>
      </x:c>
      <x:c r="H27" s="10" t="n">
        <x:v>1145</x:v>
      </x:c>
      <x:c r="I27" s="10" t="n">
        <x:v>12.7</x:v>
      </x:c>
      <x:c r="J27" s="10" t="n">
        <x:v>0</x:v>
      </x:c>
      <x:c r="K27" s="10" t="n">
        <x:v>0</x:v>
      </x:c>
      <x:c r="L27" s="34" t="n">
        <x:v>0</x:v>
      </x:c>
    </x:row>
    <x:row r="28">
      <x:c r="A28" s="39" t="n">
        <x:v>15</x:v>
      </x:c>
      <x:c r="B28" s="33" t="str">
        <x:v>Steven Caldwell</x:v>
      </x:c>
      <x:c r="C28" s="10" t="str">
        <x:v>sct SCO</x:v>
      </x:c>
      <x:c r="D28" s="10" t="str">
        <x:v>DF</x:v>
      </x:c>
      <x:c r="E28" s="10" t="n">
        <x:v>21</x:v>
      </x:c>
      <x:c r="F28" s="10" t="n">
        <x:v>14</x:v>
      </x:c>
      <x:c r="G28" s="10" t="n">
        <x:v>12</x:v>
      </x:c>
      <x:c r="H28" s="10" t="n">
        <x:v>1168</x:v>
      </x:c>
      <x:c r="I28" s="10" t="n">
        <x:v>13</x:v>
      </x:c>
      <x:c r="J28" s="10" t="n">
        <x:v>1</x:v>
      </x:c>
      <x:c r="K28" s="10" t="n">
        <x:v>0</x:v>
      </x:c>
      <x:c r="L28" s="34" t="n">
        <x:v>1</x:v>
      </x:c>
    </x:row>
    <x:row r="29">
      <x:c r="A29" s="39" t="n">
        <x:v>16</x:v>
      </x:c>
      <x:c r="B29" s="33" t="str">
        <x:v>Hugo Viana</x:v>
      </x:c>
      <x:c r="C29" s="10" t="str">
        <x:v>pt POR</x:v>
      </x:c>
      <x:c r="D29" s="10" t="str">
        <x:v>MF</x:v>
      </x:c>
      <x:c r="E29" s="10" t="n">
        <x:v>19</x:v>
      </x:c>
      <x:c r="F29" s="10" t="n">
        <x:v>23</x:v>
      </x:c>
      <x:c r="G29" s="10" t="n">
        <x:v>11</x:v>
      </x:c>
      <x:c r="H29" s="10" t="n">
        <x:v>1067</x:v>
      </x:c>
      <x:c r="I29" s="10" t="n">
        <x:v>11.9</x:v>
      </x:c>
      <x:c r="J29" s="10" t="n">
        <x:v>3</x:v>
      </x:c>
      <x:c r="K29" s="10" t="n">
        <x:v>5</x:v>
      </x:c>
      <x:c r="L29" s="34" t="n">
        <x:v>8</x:v>
      </x:c>
    </x:row>
    <x:row r="30">
      <x:c r="A30" s="39" t="n">
        <x:v>17</x:v>
      </x:c>
      <x:c r="B30" s="33" t="str">
        <x:v>Jonathan Woodgate</x:v>
      </x:c>
      <x:c r="C30" s="10" t="str">
        <x:v>eng ENG</x:v>
      </x:c>
      <x:c r="D30" s="10" t="str">
        <x:v>DF</x:v>
      </x:c>
      <x:c r="E30" s="10" t="n">
        <x:v>22</x:v>
      </x:c>
      <x:c r="F30" s="10" t="n">
        <x:v>10</x:v>
      </x:c>
      <x:c r="G30" s="10" t="n">
        <x:v>10</x:v>
      </x:c>
      <x:c r="H30" s="10" t="n">
        <x:v>861</x:v>
      </x:c>
      <x:c r="I30" s="10" t="n">
        <x:v>9.6</x:v>
      </x:c>
      <x:c r="J30" s="10" t="n">
        <x:v>0</x:v>
      </x:c>
      <x:c r="K30" s="10" t="n">
        <x:v>1</x:v>
      </x:c>
      <x:c r="L30" s="34" t="n">
        <x:v>1</x:v>
      </x:c>
    </x:row>
    <x:row r="31">
      <x:c r="A31" s="39" t="n">
        <x:v>18</x:v>
      </x:c>
      <x:c r="B31" s="33" t="str">
        <x:v>Shola Ameobi</x:v>
      </x:c>
      <x:c r="C31" s="10" t="str">
        <x:v>ng NGA</x:v>
      </x:c>
      <x:c r="D31" s="10" t="str">
        <x:v>FW</x:v>
      </x:c>
      <x:c r="E31" s="10" t="n">
        <x:v>20</x:v>
      </x:c>
      <x:c r="F31" s="10" t="n">
        <x:v>28</x:v>
      </x:c>
      <x:c r="G31" s="10" t="n">
        <x:v>8</x:v>
      </x:c>
      <x:c r="H31" s="10" t="n">
        <x:v>957</x:v>
      </x:c>
      <x:c r="I31" s="10" t="n">
        <x:v>10.6</x:v>
      </x:c>
      <x:c r="J31" s="10" t="n">
        <x:v>5</x:v>
      </x:c>
      <x:c r="K31" s="10" t="n">
        <x:v>2</x:v>
      </x:c>
      <x:c r="L31" s="34" t="n">
        <x:v>7</x:v>
      </x:c>
    </x:row>
    <x:row r="32">
      <x:c r="A32" s="39" t="n">
        <x:v>19</x:v>
      </x:c>
      <x:c r="B32" s="33" t="str">
        <x:v>Lomana LuaLua</x:v>
      </x:c>
      <x:c r="C32" s="10" t="str">
        <x:v>cd COD</x:v>
      </x:c>
      <x:c r="D32" s="10" t="str">
        <x:v>FW,MF</x:v>
      </x:c>
      <x:c r="E32" s="10" t="n">
        <x:v>21</x:v>
      </x:c>
      <x:c r="F32" s="10" t="n">
        <x:v>11</x:v>
      </x:c>
      <x:c r="G32" s="10" t="n">
        <x:v>5</x:v>
      </x:c>
      <x:c r="H32" s="10" t="n">
        <x:v>513</x:v>
      </x:c>
      <x:c r="I32" s="10" t="n">
        <x:v>5.7</x:v>
      </x:c>
      <x:c r="J32" s="10" t="n">
        <x:v>2</x:v>
      </x:c>
      <x:c r="K32" s="10" t="n">
        <x:v>0</x:v>
      </x:c>
      <x:c r="L32" s="34" t="n">
        <x:v>2</x:v>
      </x:c>
    </x:row>
    <x:row r="33">
      <x:c r="A33" s="39" t="n">
        <x:v>20</x:v>
      </x:c>
      <x:c r="B33" s="33" t="str">
        <x:v>Brian Kerr</x:v>
      </x:c>
      <x:c r="C33" s="10" t="str">
        <x:v>sct SCO</x:v>
      </x:c>
      <x:c r="D33" s="10" t="str">
        <x:v>MF</x:v>
      </x:c>
      <x:c r="E33" s="10" t="n">
        <x:v>20</x:v>
      </x:c>
      <x:c r="F33" s="10" t="n">
        <x:v>8</x:v>
      </x:c>
      <x:c r="G33" s="10" t="n">
        <x:v>4</x:v>
      </x:c>
      <x:c r="H33" s="10" t="n">
        <x:v>309</x:v>
      </x:c>
      <x:c r="I33" s="10" t="n">
        <x:v>3.4</x:v>
      </x:c>
      <x:c r="J33" s="10" t="n">
        <x:v>0</x:v>
      </x:c>
      <x:c r="K33" s="10" t="n">
        <x:v>0</x:v>
      </x:c>
      <x:c r="L33" s="34" t="n">
        <x:v>0</x:v>
      </x:c>
    </x:row>
    <x:row r="34">
      <x:c r="A34" s="39" t="n">
        <x:v>21</x:v>
      </x:c>
      <x:c r="B34" s="33" t="str">
        <x:v>Clarence Acuña</x:v>
      </x:c>
      <x:c r="C34" s="10" t="str">
        <x:v>cl CHI</x:v>
      </x:c>
      <x:c r="D34" s="10" t="str">
        <x:v>MF</x:v>
      </x:c>
      <x:c r="E34" s="10" t="n">
        <x:v>27</x:v>
      </x:c>
      <x:c r="F34" s="10" t="n">
        <x:v>4</x:v>
      </x:c>
      <x:c r="G34" s="10" t="n">
        <x:v>2</x:v>
      </x:c>
      <x:c r="H34" s="10" t="n">
        <x:v>150</x:v>
      </x:c>
      <x:c r="I34" s="10" t="n">
        <x:v>1.7</x:v>
      </x:c>
      <x:c r="J34" s="10" t="n">
        <x:v>0</x:v>
      </x:c>
      <x:c r="K34" s="10" t="n">
        <x:v>0</x:v>
      </x:c>
      <x:c r="L34" s="34" t="n">
        <x:v>0</x:v>
      </x:c>
    </x:row>
    <x:row r="35">
      <x:c r="A35" s="39" t="n">
        <x:v>22</x:v>
      </x:c>
      <x:c r="B35" s="33" t="str">
        <x:v>Robbie Elliott</x:v>
      </x:c>
      <x:c r="C35" s="10" t="str">
        <x:v>eng ENG</x:v>
      </x:c>
      <x:c r="D35" s="10" t="str">
        <x:v>DF</x:v>
      </x:c>
      <x:c r="E35" s="10" t="n">
        <x:v>28</x:v>
      </x:c>
      <x:c r="F35" s="10" t="n">
        <x:v>2</x:v>
      </x:c>
      <x:c r="G35" s="10" t="n">
        <x:v>0</x:v>
      </x:c>
      <x:c r="H35" s="10" t="n">
        <x:v>18</x:v>
      </x:c>
      <x:c r="I35" s="10" t="n">
        <x:v>0.2</x:v>
      </x:c>
      <x:c r="J35" s="10" t="n">
        <x:v>0</x:v>
      </x:c>
      <x:c r="K35" s="10" t="n">
        <x:v>0</x:v>
      </x:c>
      <x:c r="L35" s="34" t="n">
        <x:v>0</x:v>
      </x:c>
    </x:row>
    <x:row r="36">
      <x:c r="A36" s="39" t="n">
        <x:v>23</x:v>
      </x:c>
      <x:c r="B36" s="33" t="str">
        <x:v>Darren Ambrose</x:v>
      </x:c>
      <x:c r="C36" s="10" t="str">
        <x:v>eng ENG</x:v>
      </x:c>
      <x:c r="D36" s="10" t="str">
        <x:v>FW,MF</x:v>
      </x:c>
      <x:c r="E36" s="10" t="n">
        <x:v>18</x:v>
      </x:c>
      <x:c r="F36" s="10" t="n">
        <x:v>1</x:v>
      </x:c>
      <x:c r="G36" s="10" t="n">
        <x:v>0</x:v>
      </x:c>
      <x:c r="H36" s="10" t="n">
        <x:v>15</x:v>
      </x:c>
      <x:c r="I36" s="10" t="n">
        <x:v>0.2</x:v>
      </x:c>
      <x:c r="J36" s="10" t="n">
        <x:v>0</x:v>
      </x:c>
      <x:c r="K36" s="10" t="n">
        <x:v>0</x:v>
      </x:c>
      <x:c r="L36" s="34" t="n">
        <x:v>0</x:v>
      </x:c>
    </x:row>
    <x:row r="37">
      <x:c r="A37" s="39" t="n">
        <x:v>24</x:v>
      </x:c>
      <x:c r="B37" s="33" t="str">
        <x:v>Michael Chopra</x:v>
      </x:c>
      <x:c r="C37" s="10" t="str">
        <x:v>eng ENG</x:v>
      </x:c>
      <x:c r="D37" s="10" t="str">
        <x:v>FW</x:v>
      </x:c>
      <x:c r="E37" s="10" t="n">
        <x:v>18</x:v>
      </x:c>
      <x:c r="F37" s="10" t="n">
        <x:v>1</x:v>
      </x:c>
      <x:c r="G37" s="10" t="n">
        <x:v>0</x:v>
      </x:c>
      <x:c r="H37" s="10" t="n">
        <x:v>8</x:v>
      </x:c>
      <x:c r="I37" s="10" t="n">
        <x:v>0.1</x:v>
      </x:c>
      <x:c r="J37" s="10" t="n">
        <x:v>0</x:v>
      </x:c>
      <x:c r="K37" s="10" t="n">
        <x:v>0</x:v>
      </x:c>
      <x:c r="L37" s="34" t="n">
        <x:v>0</x:v>
      </x:c>
    </x:row>
    <x:row r="38">
      <x:c r="A38" s="39" t="n">
        <x:v>25</x:v>
      </x:c>
      <x:c r="B38" s="33" t="str">
        <x:v>Carl Cort</x:v>
      </x:c>
      <x:c r="C38" s="10" t="str">
        <x:v>gy GUY</x:v>
      </x:c>
      <x:c r="D38" s="10" t="str">
        <x:v>FW</x:v>
      </x:c>
      <x:c r="E38" s="10" t="n">
        <x:v>24</x:v>
      </x:c>
      <x:c r="F38" s="10" t="n">
        <x:v>1</x:v>
      </x:c>
      <x:c r="G38" s="10" t="n">
        <x:v>0</x:v>
      </x:c>
      <x:c r="H38" s="10" t="n">
        <x:v>5</x:v>
      </x:c>
      <x:c r="I38" s="10" t="n">
        <x:v>0.1</x:v>
      </x:c>
      <x:c r="J38" s="10" t="n">
        <x:v>0</x:v>
      </x:c>
      <x:c r="K38" s="10" t="n">
        <x:v>0</x:v>
      </x:c>
      <x:c r="L38" s="34" t="n">
        <x:v>0</x:v>
      </x:c>
    </x:row>
    <x:row r="39">
      <x:c r="A39" s="39" t="n">
        <x:v>26</x:v>
      </x:c>
      <x:c r="B39" s="33" t="str">
        <x:v>Jamie McClen</x:v>
      </x:c>
      <x:c r="C39" s="10" t="str">
        <x:v>eng ENG</x:v>
      </x:c>
      <x:c r="D39" s="10" t="str">
        <x:v>DF,MF</x:v>
      </x:c>
      <x:c r="E39" s="10" t="n">
        <x:v>23</x:v>
      </x:c>
      <x:c r="F39" s="10" t="n">
        <x:v>1</x:v>
      </x:c>
      <x:c r="G39" s="10" t="n">
        <x:v>0</x:v>
      </x:c>
      <x:c r="H39" s="10" t="n">
        <x:v>3</x:v>
      </x:c>
      <x:c r="I39" s="10" t="n">
        <x:v>0</x:v>
      </x:c>
      <x:c r="J39" s="10" t="n">
        <x:v>0</x:v>
      </x:c>
      <x:c r="K39" s="10" t="n">
        <x:v>0</x:v>
      </x:c>
      <x:c r="L39" s="34" t="n">
        <x:v>0</x:v>
      </x:c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06</x:v>
      </x:c>
      <x:c r="B1" s="4" t="str">
        <x:v>PAGE302 — CLUB DATA COLLECTION — SLOT 06</x:v>
      </x:c>
      <x:c r="C1" s="4" t="str">
        <x:v>PAGE302 — CLUB DATA COLLECTION — SLOT 06</x:v>
      </x:c>
      <x:c r="D1" s="4" t="str">
        <x:v>PAGE302 — CLUB DATA COLLECTION — SLOT 06</x:v>
      </x:c>
      <x:c r="E1" s="4" t="str">
        <x:v>PAGE302 — CLUB DATA COLLECTION — SLOT 06</x:v>
      </x:c>
      <x:c r="F1" s="4" t="str">
        <x:v>PAGE302 — CLUB DATA COLLECTION — SLOT 06</x:v>
      </x:c>
      <x:c r="G1" s="4" t="str">
        <x:v>PAGE302 — CLUB DATA COLLECTION — SLOT 06</x:v>
      </x:c>
      <x:c r="H1" s="4" t="str">
        <x:v>PAGE302 — CLUB DATA COLLECTION — SLOT 06</x:v>
      </x:c>
      <x:c r="I1" s="4" t="str">
        <x:v>PAGE302 — CLUB DATA COLLECTION — SLOT 06</x:v>
      </x:c>
      <x:c r="J1" s="4" t="str">
        <x:v>PAGE302 — CLUB DATA COLLECTION — SLOT 06</x:v>
      </x:c>
      <x:c r="K1" s="4" t="str">
        <x:v>PAGE302 — CLUB DATA COLLECTION — SLOT 06</x:v>
      </x:c>
      <x:c r="L1" s="4" t="str">
        <x:v>PAGE302 — CLUB DATA COLLECTION — SLOT 06</x:v>
      </x:c>
    </x:row>
    <x:row r="3">
      <x:c r="A3" s="12" t="str">
        <x:v>TEAM CODE:</x:v>
      </x:c>
      <x:c r="B3" s="23" t="str">
        <x:f>IF('Pack Planner'!$E$16="","",'Pack Planner'!$E$16)</x:f>
        <x:v>BRI2223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Planner'!$C$16="","",'Pack Planner'!$C$16)</x:f>
        <x:v>Brighton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Planner'!$D$16="","",'Pack Planner'!$D$16)</x:f>
        <x:v>2022-23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Planner'!$B$16</x:f>
        <x:v>Other current Premier League club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 t="str">
        <x:v>https://fbref.com/en/squads/d07537b9/2022-2023/Brighton-and-Hove-Albion-Stats</x:v>
      </x:c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 t="str">
        <x:v>Graham Potter</x:v>
      </x:c>
      <x:c r="C8" s="22" t="str">
        <x:v>Roberto De Zerbi</x:v>
      </x:c>
      <x:c r="D8" s="22"/>
      <x:c r="E8" s="22"/>
      <x:c r="F8" s="22"/>
      <x:c r="G8" s="22"/>
    </x:row>
    <x:row r="9">
      <x:c r="A9" s="12" t="str">
        <x:v>LEAGUE MATCHES MANAGED:</x:v>
      </x:c>
      <x:c r="B9" s="22" t="n">
        <x:v>6</x:v>
      </x:c>
      <x:c r="C9" s="22" t="n">
        <x:v>32</x:v>
      </x:c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 t="str">
        <x:v>Pascal Groß</x:v>
      </x:c>
      <x:c r="C14" s="31" t="str">
        <x:v>de GER</x:v>
      </x:c>
      <x:c r="D14" s="31" t="str">
        <x:v>MF,DF</x:v>
      </x:c>
      <x:c r="E14" s="31" t="n">
        <x:v>31</x:v>
      </x:c>
      <x:c r="F14" s="31" t="n">
        <x:v>37</x:v>
      </x:c>
      <x:c r="G14" s="31" t="n">
        <x:v>37</x:v>
      </x:c>
      <x:c r="H14" s="31" t="n">
        <x:v>3239</x:v>
      </x:c>
      <x:c r="I14" s="31" t="n">
        <x:v>36</x:v>
      </x:c>
      <x:c r="J14" s="31" t="n">
        <x:v>9</x:v>
      </x:c>
      <x:c r="K14" s="31" t="n">
        <x:v>8</x:v>
      </x:c>
      <x:c r="L14" s="32" t="n">
        <x:v>17</x:v>
      </x:c>
    </x:row>
    <x:row r="15">
      <x:c r="A15" s="39" t="n">
        <x:v>2</x:v>
      </x:c>
      <x:c r="B15" s="33" t="str">
        <x:v>Lewis Dunk</x:v>
      </x:c>
      <x:c r="C15" s="10" t="str">
        <x:v>eng ENG</x:v>
      </x:c>
      <x:c r="D15" s="10" t="str">
        <x:v>DF</x:v>
      </x:c>
      <x:c r="E15" s="10" t="n">
        <x:v>30</x:v>
      </x:c>
      <x:c r="F15" s="10" t="n">
        <x:v>36</x:v>
      </x:c>
      <x:c r="G15" s="10" t="n">
        <x:v>36</x:v>
      </x:c>
      <x:c r="H15" s="10" t="n">
        <x:v>3239</x:v>
      </x:c>
      <x:c r="I15" s="10" t="n">
        <x:v>36</x:v>
      </x:c>
      <x:c r="J15" s="10" t="n">
        <x:v>1</x:v>
      </x:c>
      <x:c r="K15" s="10" t="n">
        <x:v>0</x:v>
      </x:c>
      <x:c r="L15" s="34" t="n">
        <x:v>1</x:v>
      </x:c>
    </x:row>
    <x:row r="16">
      <x:c r="A16" s="39" t="n">
        <x:v>3</x:v>
      </x:c>
      <x:c r="B16" s="33" t="str">
        <x:v>Moisés Caicedo</x:v>
      </x:c>
      <x:c r="C16" s="10" t="str">
        <x:v>ec ECU</x:v>
      </x:c>
      <x:c r="D16" s="10" t="str">
        <x:v>MF</x:v>
      </x:c>
      <x:c r="E16" s="10" t="n">
        <x:v>20</x:v>
      </x:c>
      <x:c r="F16" s="10" t="n">
        <x:v>37</x:v>
      </x:c>
      <x:c r="G16" s="10" t="n">
        <x:v>34</x:v>
      </x:c>
      <x:c r="H16" s="10" t="n">
        <x:v>3139</x:v>
      </x:c>
      <x:c r="I16" s="10" t="n">
        <x:v>34.9</x:v>
      </x:c>
      <x:c r="J16" s="10" t="n">
        <x:v>1</x:v>
      </x:c>
      <x:c r="K16" s="10" t="n">
        <x:v>1</x:v>
      </x:c>
      <x:c r="L16" s="34" t="n">
        <x:v>2</x:v>
      </x:c>
    </x:row>
    <x:row r="17">
      <x:c r="A17" s="39" t="n">
        <x:v>4</x:v>
      </x:c>
      <x:c r="B17" s="33" t="str">
        <x:v>Alexis Mac Allister</x:v>
      </x:c>
      <x:c r="C17" s="10" t="str">
        <x:v>ar ARG</x:v>
      </x:c>
      <x:c r="D17" s="10" t="str">
        <x:v>MF</x:v>
      </x:c>
      <x:c r="E17" s="10" t="n">
        <x:v>23</x:v>
      </x:c>
      <x:c r="F17" s="10" t="n">
        <x:v>35</x:v>
      </x:c>
      <x:c r="G17" s="10" t="n">
        <x:v>31</x:v>
      </x:c>
      <x:c r="H17" s="10" t="n">
        <x:v>2886</x:v>
      </x:c>
      <x:c r="I17" s="10" t="n">
        <x:v>32.1</x:v>
      </x:c>
      <x:c r="J17" s="10" t="n">
        <x:v>10</x:v>
      </x:c>
      <x:c r="K17" s="10" t="n">
        <x:v>2</x:v>
      </x:c>
      <x:c r="L17" s="34" t="n">
        <x:v>12</x:v>
      </x:c>
    </x:row>
    <x:row r="18">
      <x:c r="A18" s="39" t="n">
        <x:v>5</x:v>
      </x:c>
      <x:c r="B18" s="33" t="str">
        <x:v>Solly March</x:v>
      </x:c>
      <x:c r="C18" s="10" t="str">
        <x:v>eng ENG</x:v>
      </x:c>
      <x:c r="D18" s="10" t="str">
        <x:v>MF</x:v>
      </x:c>
      <x:c r="E18" s="10" t="n">
        <x:v>28</x:v>
      </x:c>
      <x:c r="F18" s="10" t="n">
        <x:v>33</x:v>
      </x:c>
      <x:c r="G18" s="10" t="n">
        <x:v>31</x:v>
      </x:c>
      <x:c r="H18" s="10" t="n">
        <x:v>2715</x:v>
      </x:c>
      <x:c r="I18" s="10" t="n">
        <x:v>30.2</x:v>
      </x:c>
      <x:c r="J18" s="10" t="n">
        <x:v>6</x:v>
      </x:c>
      <x:c r="K18" s="10" t="n">
        <x:v>7</x:v>
      </x:c>
      <x:c r="L18" s="34" t="n">
        <x:v>13</x:v>
      </x:c>
    </x:row>
    <x:row r="19">
      <x:c r="A19" s="39" t="n">
        <x:v>6</x:v>
      </x:c>
      <x:c r="B19" s="33" t="str">
        <x:v>Pervis Estupiñán</x:v>
      </x:c>
      <x:c r="C19" s="10" t="str">
        <x:v>ec ECU</x:v>
      </x:c>
      <x:c r="D19" s="10" t="str">
        <x:v>DF,MF</x:v>
      </x:c>
      <x:c r="E19" s="10" t="n">
        <x:v>24</x:v>
      </x:c>
      <x:c r="F19" s="10" t="n">
        <x:v>35</x:v>
      </x:c>
      <x:c r="G19" s="10" t="n">
        <x:v>31</x:v>
      </x:c>
      <x:c r="H19" s="10" t="n">
        <x:v>2675</x:v>
      </x:c>
      <x:c r="I19" s="10" t="n">
        <x:v>29.7</x:v>
      </x:c>
      <x:c r="J19" s="10" t="n">
        <x:v>1</x:v>
      </x:c>
      <x:c r="K19" s="10" t="n">
        <x:v>5</x:v>
      </x:c>
      <x:c r="L19" s="34" t="n">
        <x:v>6</x:v>
      </x:c>
    </x:row>
    <x:row r="20">
      <x:c r="A20" s="39" t="n">
        <x:v>7</x:v>
      </x:c>
      <x:c r="B20" s="33" t="str">
        <x:v>Joël Veltman</x:v>
      </x:c>
      <x:c r="C20" s="10" t="str">
        <x:v>nl NED</x:v>
      </x:c>
      <x:c r="D20" s="10" t="str">
        <x:v>DF</x:v>
      </x:c>
      <x:c r="E20" s="10" t="n">
        <x:v>30</x:v>
      </x:c>
      <x:c r="F20" s="10" t="n">
        <x:v>31</x:v>
      </x:c>
      <x:c r="G20" s="10" t="n">
        <x:v>25</x:v>
      </x:c>
      <x:c r="H20" s="10" t="n">
        <x:v>2188</x:v>
      </x:c>
      <x:c r="I20" s="10" t="n">
        <x:v>24.3</x:v>
      </x:c>
      <x:c r="J20" s="10" t="n">
        <x:v>1</x:v>
      </x:c>
      <x:c r="K20" s="10" t="n">
        <x:v>1</x:v>
      </x:c>
      <x:c r="L20" s="34" t="n">
        <x:v>2</x:v>
      </x:c>
    </x:row>
    <x:row r="21">
      <x:c r="A21" s="39" t="n">
        <x:v>8</x:v>
      </x:c>
      <x:c r="B21" s="33" t="str">
        <x:v>Kaoru Mitoma</x:v>
      </x:c>
      <x:c r="C21" s="10" t="str">
        <x:v>jp JPN</x:v>
      </x:c>
      <x:c r="D21" s="10" t="str">
        <x:v>MF</x:v>
      </x:c>
      <x:c r="E21" s="10" t="n">
        <x:v>25</x:v>
      </x:c>
      <x:c r="F21" s="10" t="n">
        <x:v>33</x:v>
      </x:c>
      <x:c r="G21" s="10" t="n">
        <x:v>24</x:v>
      </x:c>
      <x:c r="H21" s="10" t="n">
        <x:v>2318</x:v>
      </x:c>
      <x:c r="I21" s="10" t="n">
        <x:v>25.8</x:v>
      </x:c>
      <x:c r="J21" s="10" t="n">
        <x:v>7</x:v>
      </x:c>
      <x:c r="K21" s="10" t="n">
        <x:v>5</x:v>
      </x:c>
      <x:c r="L21" s="34" t="n">
        <x:v>12</x:v>
      </x:c>
    </x:row>
    <x:row r="22">
      <x:c r="A22" s="39" t="n">
        <x:v>9</x:v>
      </x:c>
      <x:c r="B22" s="33" t="str">
        <x:v>Robert Sánchez</x:v>
      </x:c>
      <x:c r="C22" s="10" t="str">
        <x:v>es ESP</x:v>
      </x:c>
      <x:c r="D22" s="10" t="str">
        <x:v>GK</x:v>
      </x:c>
      <x:c r="E22" s="10" t="n">
        <x:v>24</x:v>
      </x:c>
      <x:c r="F22" s="10" t="n">
        <x:v>23</x:v>
      </x:c>
      <x:c r="G22" s="10" t="n">
        <x:v>23</x:v>
      </x:c>
      <x:c r="H22" s="10" t="n">
        <x:v>2070</x:v>
      </x:c>
      <x:c r="I22" s="10" t="n">
        <x:v>23</x:v>
      </x:c>
      <x:c r="J22" s="10" t="n">
        <x:v>0</x:v>
      </x:c>
      <x:c r="K22" s="10" t="n">
        <x:v>0</x:v>
      </x:c>
      <x:c r="L22" s="34" t="n">
        <x:v>0</x:v>
      </x:c>
    </x:row>
    <x:row r="23">
      <x:c r="A23" s="39" t="n">
        <x:v>10</x:v>
      </x:c>
      <x:c r="B23" s="33" t="str">
        <x:v>Adam Webster</x:v>
      </x:c>
      <x:c r="C23" s="10" t="str">
        <x:v>eng ENG</x:v>
      </x:c>
      <x:c r="D23" s="10" t="str">
        <x:v>DF</x:v>
      </x:c>
      <x:c r="E23" s="10" t="n">
        <x:v>27</x:v>
      </x:c>
      <x:c r="F23" s="10" t="n">
        <x:v>27</x:v>
      </x:c>
      <x:c r="G23" s="10" t="n">
        <x:v>23</x:v>
      </x:c>
      <x:c r="H23" s="10" t="n">
        <x:v>1985</x:v>
      </x:c>
      <x:c r="I23" s="10" t="n">
        <x:v>22.1</x:v>
      </x:c>
      <x:c r="J23" s="10" t="n">
        <x:v>0</x:v>
      </x:c>
      <x:c r="K23" s="10" t="n">
        <x:v>0</x:v>
      </x:c>
      <x:c r="L23" s="34" t="n">
        <x:v>0</x:v>
      </x:c>
    </x:row>
    <x:row r="24">
      <x:c r="A24" s="39" t="n">
        <x:v>11</x:v>
      </x:c>
      <x:c r="B24" s="33" t="str">
        <x:v>Danny Welbeck</x:v>
      </x:c>
      <x:c r="C24" s="10" t="str">
        <x:v>eng ENG</x:v>
      </x:c>
      <x:c r="D24" s="10" t="str">
        <x:v>FW</x:v>
      </x:c>
      <x:c r="E24" s="10" t="n">
        <x:v>31</x:v>
      </x:c>
      <x:c r="F24" s="10" t="n">
        <x:v>31</x:v>
      </x:c>
      <x:c r="G24" s="10" t="n">
        <x:v>21</x:v>
      </x:c>
      <x:c r="H24" s="10" t="n">
        <x:v>1854</x:v>
      </x:c>
      <x:c r="I24" s="10" t="n">
        <x:v>20.6</x:v>
      </x:c>
      <x:c r="J24" s="10" t="n">
        <x:v>6</x:v>
      </x:c>
      <x:c r="K24" s="10" t="n">
        <x:v>3</x:v>
      </x:c>
      <x:c r="L24" s="34" t="n">
        <x:v>9</x:v>
      </x:c>
    </x:row>
    <x:row r="25">
      <x:c r="A25" s="39" t="n">
        <x:v>12</x:v>
      </x:c>
      <x:c r="B25" s="33" t="str">
        <x:v>Leandro Trossard</x:v>
      </x:c>
      <x:c r="C25" s="10" t="str">
        <x:v>be BEL</x:v>
      </x:c>
      <x:c r="D25" s="10" t="str">
        <x:v>MF,FW</x:v>
      </x:c>
      <x:c r="E25" s="10" t="n">
        <x:v>27</x:v>
      </x:c>
      <x:c r="F25" s="10" t="n">
        <x:v>16</x:v>
      </x:c>
      <x:c r="G25" s="10" t="n">
        <x:v>16</x:v>
      </x:c>
      <x:c r="H25" s="10" t="n">
        <x:v>1315</x:v>
      </x:c>
      <x:c r="I25" s="10" t="n">
        <x:v>14.6</x:v>
      </x:c>
      <x:c r="J25" s="10" t="n">
        <x:v>7</x:v>
      </x:c>
      <x:c r="K25" s="10" t="n">
        <x:v>2</x:v>
      </x:c>
      <x:c r="L25" s="34" t="n">
        <x:v>9</x:v>
      </x:c>
    </x:row>
    <x:row r="26">
      <x:c r="A26" s="39" t="n">
        <x:v>13</x:v>
      </x:c>
      <x:c r="B26" s="33" t="str">
        <x:v>Jason Steele</x:v>
      </x:c>
      <x:c r="C26" s="10" t="str">
        <x:v>eng ENG</x:v>
      </x:c>
      <x:c r="D26" s="10" t="str">
        <x:v>GK</x:v>
      </x:c>
      <x:c r="E26" s="10" t="n">
        <x:v>31</x:v>
      </x:c>
      <x:c r="F26" s="10" t="n">
        <x:v>15</x:v>
      </x:c>
      <x:c r="G26" s="10" t="n">
        <x:v>15</x:v>
      </x:c>
      <x:c r="H26" s="10" t="n">
        <x:v>1350</x:v>
      </x:c>
      <x:c r="I26" s="10" t="n">
        <x:v>15</x:v>
      </x:c>
      <x:c r="J26" s="10" t="n">
        <x:v>0</x:v>
      </x:c>
      <x:c r="K26" s="10" t="n">
        <x:v>1</x:v>
      </x:c>
      <x:c r="L26" s="34" t="n">
        <x:v>1</x:v>
      </x:c>
    </x:row>
    <x:row r="27">
      <x:c r="A27" s="39" t="n">
        <x:v>14</x:v>
      </x:c>
      <x:c r="B27" s="33" t="str">
        <x:v>Levi Colwill</x:v>
      </x:c>
      <x:c r="C27" s="10" t="str">
        <x:v>eng ENG</x:v>
      </x:c>
      <x:c r="D27" s="10" t="str">
        <x:v>DF</x:v>
      </x:c>
      <x:c r="E27" s="10" t="n">
        <x:v>19</x:v>
      </x:c>
      <x:c r="F27" s="10" t="n">
        <x:v>17</x:v>
      </x:c>
      <x:c r="G27" s="10" t="n">
        <x:v>13</x:v>
      </x:c>
      <x:c r="H27" s="10" t="n">
        <x:v>1220</x:v>
      </x:c>
      <x:c r="I27" s="10" t="n">
        <x:v>13.6</x:v>
      </x:c>
      <x:c r="J27" s="10" t="n">
        <x:v>0</x:v>
      </x:c>
      <x:c r="K27" s="10" t="n">
        <x:v>2</x:v>
      </x:c>
      <x:c r="L27" s="34" t="n">
        <x:v>2</x:v>
      </x:c>
    </x:row>
    <x:row r="28">
      <x:c r="A28" s="39" t="n">
        <x:v>15</x:v>
      </x:c>
      <x:c r="B28" s="33" t="str">
        <x:v>Adam Lallana</x:v>
      </x:c>
      <x:c r="C28" s="10" t="str">
        <x:v>eng ENG</x:v>
      </x:c>
      <x:c r="D28" s="10" t="str">
        <x:v>MF</x:v>
      </x:c>
      <x:c r="E28" s="10" t="n">
        <x:v>34</x:v>
      </x:c>
      <x:c r="F28" s="10" t="n">
        <x:v>16</x:v>
      </x:c>
      <x:c r="G28" s="10" t="n">
        <x:v>12</x:v>
      </x:c>
      <x:c r="H28" s="10" t="n">
        <x:v>722</x:v>
      </x:c>
      <x:c r="I28" s="10" t="n">
        <x:v>8</x:v>
      </x:c>
      <x:c r="J28" s="10" t="n">
        <x:v>2</x:v>
      </x:c>
      <x:c r="K28" s="10" t="n">
        <x:v>1</x:v>
      </x:c>
      <x:c r="L28" s="34" t="n">
        <x:v>3</x:v>
      </x:c>
    </x:row>
    <x:row r="29">
      <x:c r="A29" s="39" t="n">
        <x:v>16</x:v>
      </x:c>
      <x:c r="B29" s="33" t="str">
        <x:v>Evan Ferguson</x:v>
      </x:c>
      <x:c r="C29" s="10" t="str">
        <x:v>ie IRL</x:v>
      </x:c>
      <x:c r="D29" s="10" t="str">
        <x:v>FW</x:v>
      </x:c>
      <x:c r="E29" s="10" t="n">
        <x:v>17</x:v>
      </x:c>
      <x:c r="F29" s="10" t="n">
        <x:v>19</x:v>
      </x:c>
      <x:c r="G29" s="10" t="n">
        <x:v>10</x:v>
      </x:c>
      <x:c r="H29" s="10" t="n">
        <x:v>950</x:v>
      </x:c>
      <x:c r="I29" s="10" t="n">
        <x:v>10.6</x:v>
      </x:c>
      <x:c r="J29" s="10" t="n">
        <x:v>6</x:v>
      </x:c>
      <x:c r="K29" s="10" t="n">
        <x:v>2</x:v>
      </x:c>
      <x:c r="L29" s="34" t="n">
        <x:v>8</x:v>
      </x:c>
    </x:row>
    <x:row r="30">
      <x:c r="A30" s="39" t="n">
        <x:v>17</x:v>
      </x:c>
      <x:c r="B30" s="33" t="str">
        <x:v>Julio Enciso</x:v>
      </x:c>
      <x:c r="C30" s="10" t="str">
        <x:v>py PAR</x:v>
      </x:c>
      <x:c r="D30" s="10" t="str">
        <x:v>MF,FW</x:v>
      </x:c>
      <x:c r="E30" s="10" t="n">
        <x:v>18</x:v>
      </x:c>
      <x:c r="F30" s="10" t="n">
        <x:v>20</x:v>
      </x:c>
      <x:c r="G30" s="10" t="n">
        <x:v>7</x:v>
      </x:c>
      <x:c r="H30" s="10" t="n">
        <x:v>806</x:v>
      </x:c>
      <x:c r="I30" s="10" t="n">
        <x:v>9</x:v>
      </x:c>
      <x:c r="J30" s="10" t="n">
        <x:v>4</x:v>
      </x:c>
      <x:c r="K30" s="10" t="n">
        <x:v>2</x:v>
      </x:c>
      <x:c r="L30" s="34" t="n">
        <x:v>6</x:v>
      </x:c>
    </x:row>
    <x:row r="31">
      <x:c r="A31" s="39" t="n">
        <x:v>18</x:v>
      </x:c>
      <x:c r="B31" s="33" t="str">
        <x:v>Billy Gilmour</x:v>
      </x:c>
      <x:c r="C31" s="10" t="str">
        <x:v>sct SCO</x:v>
      </x:c>
      <x:c r="D31" s="10" t="str">
        <x:v>MF</x:v>
      </x:c>
      <x:c r="E31" s="10" t="n">
        <x:v>21</x:v>
      </x:c>
      <x:c r="F31" s="10" t="n">
        <x:v>14</x:v>
      </x:c>
      <x:c r="G31" s="10" t="n">
        <x:v>7</x:v>
      </x:c>
      <x:c r="H31" s="10" t="n">
        <x:v>507</x:v>
      </x:c>
      <x:c r="I31" s="10" t="n">
        <x:v>5.6</x:v>
      </x:c>
      <x:c r="J31" s="10" t="n">
        <x:v>0</x:v>
      </x:c>
      <x:c r="K31" s="10" t="n">
        <x:v>1</x:v>
      </x:c>
      <x:c r="L31" s="34" t="n">
        <x:v>1</x:v>
      </x:c>
    </x:row>
    <x:row r="32">
      <x:c r="A32" s="39" t="n">
        <x:v>19</x:v>
      </x:c>
      <x:c r="B32" s="33" t="str">
        <x:v>Deniz Undav</x:v>
      </x:c>
      <x:c r="C32" s="10" t="str">
        <x:v>de GER</x:v>
      </x:c>
      <x:c r="D32" s="10" t="str">
        <x:v>MF,FW</x:v>
      </x:c>
      <x:c r="E32" s="10" t="n">
        <x:v>26</x:v>
      </x:c>
      <x:c r="F32" s="10" t="n">
        <x:v>22</x:v>
      </x:c>
      <x:c r="G32" s="10" t="n">
        <x:v>6</x:v>
      </x:c>
      <x:c r="H32" s="10" t="n">
        <x:v>628</x:v>
      </x:c>
      <x:c r="I32" s="10" t="n">
        <x:v>7</x:v>
      </x:c>
      <x:c r="J32" s="10" t="n">
        <x:v>5</x:v>
      </x:c>
      <x:c r="K32" s="10" t="n">
        <x:v>0</x:v>
      </x:c>
      <x:c r="L32" s="34" t="n">
        <x:v>5</x:v>
      </x:c>
    </x:row>
    <x:row r="33">
      <x:c r="A33" s="39" t="n">
        <x:v>20</x:v>
      </x:c>
      <x:c r="B33" s="33" t="str">
        <x:v>Facundo Buonanotte</x:v>
      </x:c>
      <x:c r="C33" s="10" t="str">
        <x:v>ar ARG</x:v>
      </x:c>
      <x:c r="D33" s="10" t="str">
        <x:v>MF</x:v>
      </x:c>
      <x:c r="E33" s="10" t="n">
        <x:v>17</x:v>
      </x:c>
      <x:c r="F33" s="10" t="n">
        <x:v>13</x:v>
      </x:c>
      <x:c r="G33" s="10" t="n">
        <x:v>6</x:v>
      </x:c>
      <x:c r="H33" s="10" t="n">
        <x:v>565</x:v>
      </x:c>
      <x:c r="I33" s="10" t="n">
        <x:v>6.3</x:v>
      </x:c>
      <x:c r="J33" s="10" t="n">
        <x:v>1</x:v>
      </x:c>
      <x:c r="K33" s="10" t="n">
        <x:v>1</x:v>
      </x:c>
      <x:c r="L33" s="34" t="n">
        <x:v>2</x:v>
      </x:c>
    </x:row>
    <x:row r="34">
      <x:c r="A34" s="39" t="n">
        <x:v>21</x:v>
      </x:c>
      <x:c r="B34" s="33" t="str">
        <x:v>Tariq Lamptey</x:v>
      </x:c>
      <x:c r="C34" s="10" t="str">
        <x:v>gh GHA</x:v>
      </x:c>
      <x:c r="D34" s="10" t="str">
        <x:v>DF,MF</x:v>
      </x:c>
      <x:c r="E34" s="10" t="n">
        <x:v>21</x:v>
      </x:c>
      <x:c r="F34" s="10" t="n">
        <x:v>20</x:v>
      </x:c>
      <x:c r="G34" s="10" t="n">
        <x:v>3</x:v>
      </x:c>
      <x:c r="H34" s="10" t="n">
        <x:v>453</x:v>
      </x:c>
      <x:c r="I34" s="10" t="n">
        <x:v>5</x:v>
      </x:c>
      <x:c r="J34" s="10" t="n">
        <x:v>0</x:v>
      </x:c>
      <x:c r="K34" s="10" t="n">
        <x:v>0</x:v>
      </x:c>
      <x:c r="L34" s="34" t="n">
        <x:v>0</x:v>
      </x:c>
    </x:row>
    <x:row r="35">
      <x:c r="A35" s="39" t="n">
        <x:v>22</x:v>
      </x:c>
      <x:c r="B35" s="33" t="str">
        <x:v>Jan Paul van Hecke</x:v>
      </x:c>
      <x:c r="C35" s="10" t="str">
        <x:v>nl NED</x:v>
      </x:c>
      <x:c r="D35" s="10" t="str">
        <x:v>DF</x:v>
      </x:c>
      <x:c r="E35" s="10" t="n">
        <x:v>22</x:v>
      </x:c>
      <x:c r="F35" s="10" t="n">
        <x:v>8</x:v>
      </x:c>
      <x:c r="G35" s="10" t="n">
        <x:v>3</x:v>
      </x:c>
      <x:c r="H35" s="10" t="n">
        <x:v>295</x:v>
      </x:c>
      <x:c r="I35" s="10" t="n">
        <x:v>3.3</x:v>
      </x:c>
      <x:c r="J35" s="10" t="n">
        <x:v>0</x:v>
      </x:c>
      <x:c r="K35" s="10" t="n">
        <x:v>0</x:v>
      </x:c>
      <x:c r="L35" s="34" t="n">
        <x:v>0</x:v>
      </x:c>
    </x:row>
    <x:row r="36">
      <x:c r="A36" s="39" t="n">
        <x:v>23</x:v>
      </x:c>
      <x:c r="B36" s="33" t="str">
        <x:v>Enock Mwepu</x:v>
      </x:c>
      <x:c r="C36" s="10" t="str">
        <x:v>zm ZAM</x:v>
      </x:c>
      <x:c r="D36" s="10" t="str">
        <x:v>MF,FW</x:v>
      </x:c>
      <x:c r="E36" s="10" t="n">
        <x:v>24</x:v>
      </x:c>
      <x:c r="F36" s="10" t="n">
        <x:v>6</x:v>
      </x:c>
      <x:c r="G36" s="10" t="n">
        <x:v>2</x:v>
      </x:c>
      <x:c r="H36" s="10" t="n">
        <x:v>213</x:v>
      </x:c>
      <x:c r="I36" s="10" t="n">
        <x:v>2.4</x:v>
      </x:c>
      <x:c r="J36" s="10" t="n">
        <x:v>0</x:v>
      </x:c>
      <x:c r="K36" s="10" t="n">
        <x:v>1</x:v>
      </x:c>
      <x:c r="L36" s="34" t="n">
        <x:v>1</x:v>
      </x:c>
    </x:row>
    <x:row r="37">
      <x:c r="A37" s="39" t="n">
        <x:v>24</x:v>
      </x:c>
      <x:c r="B37" s="33" t="str">
        <x:v>Jeremy Sarmiento</x:v>
      </x:c>
      <x:c r="C37" s="10" t="str">
        <x:v>ec ECU</x:v>
      </x:c>
      <x:c r="D37" s="10" t="str">
        <x:v>MF</x:v>
      </x:c>
      <x:c r="E37" s="10" t="n">
        <x:v>20</x:v>
      </x:c>
      <x:c r="F37" s="10" t="n">
        <x:v>9</x:v>
      </x:c>
      <x:c r="G37" s="10" t="n">
        <x:v>1</x:v>
      </x:c>
      <x:c r="H37" s="10" t="n">
        <x:v>176</x:v>
      </x:c>
      <x:c r="I37" s="10" t="n">
        <x:v>2</x:v>
      </x:c>
      <x:c r="J37" s="10" t="n">
        <x:v>0</x:v>
      </x:c>
      <x:c r="K37" s="10" t="n">
        <x:v>1</x:v>
      </x:c>
      <x:c r="L37" s="34" t="n">
        <x:v>1</x:v>
      </x:c>
    </x:row>
    <x:row r="38">
      <x:c r="A38" s="39" t="n">
        <x:v>25</x:v>
      </x:c>
      <x:c r="B38" s="33" t="str">
        <x:v>Yasin Ayari</x:v>
      </x:c>
      <x:c r="C38" s="10" t="str">
        <x:v>se SWE</x:v>
      </x:c>
      <x:c r="D38" s="10" t="str">
        <x:v>MF</x:v>
      </x:c>
      <x:c r="E38" s="10" t="n">
        <x:v>18</x:v>
      </x:c>
      <x:c r="F38" s="10" t="n">
        <x:v>3</x:v>
      </x:c>
      <x:c r="G38" s="10" t="n">
        <x:v>1</x:v>
      </x:c>
      <x:c r="H38" s="10" t="n">
        <x:v>67</x:v>
      </x:c>
      <x:c r="I38" s="10" t="n">
        <x:v>0.7</x:v>
      </x:c>
      <x:c r="J38" s="10" t="n">
        <x:v>0</x:v>
      </x:c>
      <x:c r="K38" s="10" t="n">
        <x:v>0</x:v>
      </x:c>
      <x:c r="L38" s="34" t="n">
        <x:v>0</x:v>
      </x:c>
    </x:row>
    <x:row r="39">
      <x:c r="A39" s="39" t="n">
        <x:v>26</x:v>
      </x:c>
      <x:c r="B39" s="33" t="str">
        <x:v>Odeluga Offiah</x:v>
      </x:c>
      <x:c r="C39" s="10" t="str">
        <x:v>eng ENG</x:v>
      </x:c>
      <x:c r="D39" s="10" t="str">
        <x:v>DF</x:v>
      </x:c>
      <x:c r="E39" s="10" t="n">
        <x:v>19</x:v>
      </x:c>
      <x:c r="F39" s="10" t="n">
        <x:v>2</x:v>
      </x:c>
      <x:c r="G39" s="10" t="n">
        <x:v>0</x:v>
      </x:c>
      <x:c r="H39" s="10" t="n">
        <x:v>25</x:v>
      </x:c>
      <x:c r="I39" s="10" t="n">
        <x:v>0.3</x:v>
      </x:c>
      <x:c r="J39" s="10" t="n">
        <x:v>0</x:v>
      </x:c>
      <x:c r="K39" s="10" t="n">
        <x:v>0</x:v>
      </x:c>
      <x:c r="L39" s="34" t="n">
        <x:v>0</x:v>
      </x:c>
    </x:row>
    <x:row r="40">
      <x:c r="A40" s="39" t="n">
        <x:v>27</x:v>
      </x:c>
      <x:c r="B40" s="33" t="str">
        <x:v>Andrew Moran</x:v>
      </x:c>
      <x:c r="C40" s="10" t="str">
        <x:v>ie IRL</x:v>
      </x:c>
      <x:c r="D40" s="10" t="str">
        <x:v>MF</x:v>
      </x:c>
      <x:c r="E40" s="10" t="n">
        <x:v>18</x:v>
      </x:c>
      <x:c r="F40" s="10" t="n">
        <x:v>1</x:v>
      </x:c>
      <x:c r="G40" s="10" t="n">
        <x:v>0</x:v>
      </x:c>
      <x:c r="H40" s="10" t="n">
        <x:v>12</x:v>
      </x:c>
      <x:c r="I40" s="10" t="n">
        <x:v>0.1</x:v>
      </x:c>
      <x:c r="J40" s="10" t="n">
        <x:v>0</x:v>
      </x:c>
      <x:c r="K40" s="10" t="n">
        <x:v>0</x:v>
      </x:c>
      <x:c r="L40" s="34" t="n">
        <x:v>0</x:v>
      </x:c>
    </x:row>
    <x:row r="41">
      <x:c r="A41" s="39" t="n">
        <x:v>28</x:v>
      </x:c>
      <x:c r="B41" s="33" t="str">
        <x:v>Cameron Peupion</x:v>
      </x:c>
      <x:c r="C41" s="10" t="str">
        <x:v>au AUS</x:v>
      </x:c>
      <x:c r="D41" s="10" t="str">
        <x:v>MF</x:v>
      </x:c>
      <x:c r="E41" s="10" t="n">
        <x:v>19</x:v>
      </x:c>
      <x:c r="F41" s="10" t="n">
        <x:v>1</x:v>
      </x:c>
      <x:c r="G41" s="10" t="n">
        <x:v>0</x:v>
      </x:c>
      <x:c r="H41" s="10" t="n">
        <x:v>6</x:v>
      </x:c>
      <x:c r="I41" s="10" t="n">
        <x:v>0.1</x:v>
      </x:c>
      <x:c r="J41" s="10" t="n">
        <x:v>0</x:v>
      </x:c>
      <x:c r="K41" s="10" t="n">
        <x:v>0</x:v>
      </x:c>
      <x:c r="L41" s="34" t="n">
        <x:v>0</x:v>
      </x:c>
    </x:row>
    <x:row r="42">
      <x:c r="A42" s="39" t="n">
        <x:v>29</x:v>
      </x:c>
      <x:c r="B42" s="33" t="str">
        <x:v>Jack Hinshelwood</x:v>
      </x:c>
      <x:c r="C42" s="10" t="str">
        <x:v>eng ENG</x:v>
      </x:c>
      <x:c r="D42" s="10" t="str">
        <x:v>DF,MF</x:v>
      </x:c>
      <x:c r="E42" s="10" t="n">
        <x:v>17</x:v>
      </x:c>
      <x:c r="F42" s="10" t="n">
        <x:v>1</x:v>
      </x:c>
      <x:c r="G42" s="10" t="n">
        <x:v>0</x:v>
      </x:c>
      <x:c r="H42" s="10" t="n">
        <x:v>2</x:v>
      </x:c>
      <x:c r="I42" s="10" t="n">
        <x:v>0</x:v>
      </x:c>
      <x:c r="J42" s="10" t="n">
        <x:v>0</x:v>
      </x:c>
      <x:c r="K42" s="10" t="n">
        <x:v>0</x:v>
      </x:c>
      <x:c r="L42" s="34" t="n">
        <x:v>0</x:v>
      </x:c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07</x:v>
      </x:c>
      <x:c r="B1" s="4" t="str">
        <x:v>PAGE302 — CLUB DATA COLLECTION — SLOT 07</x:v>
      </x:c>
      <x:c r="C1" s="4" t="str">
        <x:v>PAGE302 — CLUB DATA COLLECTION — SLOT 07</x:v>
      </x:c>
      <x:c r="D1" s="4" t="str">
        <x:v>PAGE302 — CLUB DATA COLLECTION — SLOT 07</x:v>
      </x:c>
      <x:c r="E1" s="4" t="str">
        <x:v>PAGE302 — CLUB DATA COLLECTION — SLOT 07</x:v>
      </x:c>
      <x:c r="F1" s="4" t="str">
        <x:v>PAGE302 — CLUB DATA COLLECTION — SLOT 07</x:v>
      </x:c>
      <x:c r="G1" s="4" t="str">
        <x:v>PAGE302 — CLUB DATA COLLECTION — SLOT 07</x:v>
      </x:c>
      <x:c r="H1" s="4" t="str">
        <x:v>PAGE302 — CLUB DATA COLLECTION — SLOT 07</x:v>
      </x:c>
      <x:c r="I1" s="4" t="str">
        <x:v>PAGE302 — CLUB DATA COLLECTION — SLOT 07</x:v>
      </x:c>
      <x:c r="J1" s="4" t="str">
        <x:v>PAGE302 — CLUB DATA COLLECTION — SLOT 07</x:v>
      </x:c>
      <x:c r="K1" s="4" t="str">
        <x:v>PAGE302 — CLUB DATA COLLECTION — SLOT 07</x:v>
      </x:c>
      <x:c r="L1" s="4" t="str">
        <x:v>PAGE302 — CLUB DATA COLLECTION — SLOT 07</x:v>
      </x:c>
    </x:row>
    <x:row r="3">
      <x:c r="A3" s="12" t="str">
        <x:v>TEAM CODE:</x:v>
      </x:c>
      <x:c r="B3" s="23" t="str">
        <x:f>IF('Pack Planner'!$E$17="","",'Pack Planner'!$E$17)</x:f>
        <x:v>CRY9495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Planner'!$C$17="","",'Pack Planner'!$C$17)</x:f>
        <x:v>Crystal Palace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Planner'!$D$17="","",'Pack Planner'!$D$17)</x:f>
        <x:v>1994-95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Planner'!$B$17</x:f>
        <x:v>Other current Premier League club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 t="str">
        <x:v>https://fbref.com/en/squads/47c64c55/1994-1995/Crystal-Palace-Stats</x:v>
      </x:c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 t="str">
        <x:v>Alan Smith</x:v>
      </x:c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 t="n">
        <x:v>42</x:v>
      </x:c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 t="str">
        <x:v>Gareth Southgate</x:v>
      </x:c>
      <x:c r="C14" s="31" t="str">
        <x:v>eng ENG</x:v>
      </x:c>
      <x:c r="D14" s="31" t="str">
        <x:v>DF</x:v>
      </x:c>
      <x:c r="E14" s="31" t="n">
        <x:v>23</x:v>
      </x:c>
      <x:c r="F14" s="31" t="n">
        <x:v>42</x:v>
      </x:c>
      <x:c r="G14" s="31" t="n">
        <x:v>42</x:v>
      </x:c>
      <x:c r="H14" s="31" t="n">
        <x:v>3780</x:v>
      </x:c>
      <x:c r="I14" s="31" t="n">
        <x:v>42</x:v>
      </x:c>
      <x:c r="J14" s="31" t="n">
        <x:v>3</x:v>
      </x:c>
      <x:c r="K14" s="31" t="n">
        <x:v>4</x:v>
      </x:c>
      <x:c r="L14" s="32" t="n">
        <x:v>7</x:v>
      </x:c>
    </x:row>
    <x:row r="15">
      <x:c r="A15" s="39" t="n">
        <x:v>2</x:v>
      </x:c>
      <x:c r="B15" s="33" t="str">
        <x:v>Richard Shaw</x:v>
      </x:c>
      <x:c r="C15" s="10" t="str">
        <x:v>eng ENG</x:v>
      </x:c>
      <x:c r="D15" s="10" t="str">
        <x:v>DF</x:v>
      </x:c>
      <x:c r="E15" s="10" t="n">
        <x:v>25</x:v>
      </x:c>
      <x:c r="F15" s="10" t="n">
        <x:v>41</x:v>
      </x:c>
      <x:c r="G15" s="10" t="n">
        <x:v>41</x:v>
      </x:c>
      <x:c r="H15" s="10" t="n">
        <x:v>3616</x:v>
      </x:c>
      <x:c r="I15" s="10" t="n">
        <x:v>40.2</x:v>
      </x:c>
      <x:c r="J15" s="10" t="n">
        <x:v>0</x:v>
      </x:c>
      <x:c r="K15" s="10" t="n">
        <x:v>0</x:v>
      </x:c>
      <x:c r="L15" s="34" t="n">
        <x:v>0</x:v>
      </x:c>
    </x:row>
    <x:row r="16">
      <x:c r="A16" s="39" t="n">
        <x:v>3</x:v>
      </x:c>
      <x:c r="B16" s="33" t="str">
        <x:v>Chris Armstrong</x:v>
      </x:c>
      <x:c r="C16" s="10" t="str">
        <x:v>eng ENG</x:v>
      </x:c>
      <x:c r="D16" s="10" t="str">
        <x:v>FW</x:v>
      </x:c>
      <x:c r="E16" s="10" t="n">
        <x:v>23</x:v>
      </x:c>
      <x:c r="F16" s="10" t="n">
        <x:v>40</x:v>
      </x:c>
      <x:c r="G16" s="10" t="n">
        <x:v>40</x:v>
      </x:c>
      <x:c r="H16" s="10" t="n">
        <x:v>3586</x:v>
      </x:c>
      <x:c r="I16" s="10" t="n">
        <x:v>39.8</x:v>
      </x:c>
      <x:c r="J16" s="10" t="n">
        <x:v>8</x:v>
      </x:c>
      <x:c r="K16" s="10" t="n">
        <x:v>6</x:v>
      </x:c>
      <x:c r="L16" s="34" t="n">
        <x:v>14</x:v>
      </x:c>
    </x:row>
    <x:row r="17">
      <x:c r="A17" s="39" t="n">
        <x:v>4</x:v>
      </x:c>
      <x:c r="B17" s="33" t="str">
        <x:v>John Salako</x:v>
      </x:c>
      <x:c r="C17" s="10" t="str">
        <x:v>eng ENG</x:v>
      </x:c>
      <x:c r="D17" s="10" t="str">
        <x:v>MF</x:v>
      </x:c>
      <x:c r="E17" s="10" t="n">
        <x:v>25</x:v>
      </x:c>
      <x:c r="F17" s="10" t="n">
        <x:v>39</x:v>
      </x:c>
      <x:c r="G17" s="10" t="n">
        <x:v>39</x:v>
      </x:c>
      <x:c r="H17" s="10" t="n">
        <x:v>3284</x:v>
      </x:c>
      <x:c r="I17" s="10" t="n">
        <x:v>36.5</x:v>
      </x:c>
      <x:c r="J17" s="10" t="n">
        <x:v>4</x:v>
      </x:c>
      <x:c r="K17" s="10" t="n">
        <x:v>4</x:v>
      </x:c>
      <x:c r="L17" s="34" t="n">
        <x:v>8</x:v>
      </x:c>
    </x:row>
    <x:row r="18">
      <x:c r="A18" s="39" t="n">
        <x:v>5</x:v>
      </x:c>
      <x:c r="B18" s="33" t="str">
        <x:v>Dean Gordon</x:v>
      </x:c>
      <x:c r="C18" s="10" t="str">
        <x:v>eng ENG</x:v>
      </x:c>
      <x:c r="D18" s="10" t="str">
        <x:v>DF,MF</x:v>
      </x:c>
      <x:c r="E18" s="10" t="n">
        <x:v>21</x:v>
      </x:c>
      <x:c r="F18" s="10" t="n">
        <x:v>41</x:v>
      </x:c>
      <x:c r="G18" s="10" t="n">
        <x:v>38</x:v>
      </x:c>
      <x:c r="H18" s="10" t="n">
        <x:v>3508</x:v>
      </x:c>
      <x:c r="I18" s="10" t="n">
        <x:v>39</x:v>
      </x:c>
      <x:c r="J18" s="10" t="n">
        <x:v>2</x:v>
      </x:c>
      <x:c r="K18" s="10" t="n">
        <x:v>1</x:v>
      </x:c>
      <x:c r="L18" s="34" t="n">
        <x:v>3</x:v>
      </x:c>
    </x:row>
    <x:row r="19">
      <x:c r="A19" s="39" t="n">
        <x:v>6</x:v>
      </x:c>
      <x:c r="B19" s="33" t="str">
        <x:v>Nigel Martyn</x:v>
      </x:c>
      <x:c r="C19" s="10" t="str">
        <x:v>eng ENG</x:v>
      </x:c>
      <x:c r="D19" s="10" t="str">
        <x:v>GK</x:v>
      </x:c>
      <x:c r="E19" s="10" t="n">
        <x:v>27</x:v>
      </x:c>
      <x:c r="F19" s="10" t="n">
        <x:v>37</x:v>
      </x:c>
      <x:c r="G19" s="10" t="n">
        <x:v>37</x:v>
      </x:c>
      <x:c r="H19" s="10" t="n">
        <x:v>3326</x:v>
      </x:c>
      <x:c r="I19" s="10" t="n">
        <x:v>37</x:v>
      </x:c>
      <x:c r="J19" s="10" t="n">
        <x:v>0</x:v>
      </x:c>
      <x:c r="K19" s="10" t="n">
        <x:v>0</x:v>
      </x:c>
      <x:c r="L19" s="34" t="n">
        <x:v>0</x:v>
      </x:c>
    </x:row>
    <x:row r="20">
      <x:c r="A20" s="39" t="n">
        <x:v>7</x:v>
      </x:c>
      <x:c r="B20" s="33" t="str">
        <x:v>Chris Coleman</x:v>
      </x:c>
      <x:c r="C20" s="10" t="str">
        <x:v>wls WAL</x:v>
      </x:c>
      <x:c r="D20" s="10" t="str">
        <x:v>DF</x:v>
      </x:c>
      <x:c r="E20" s="10" t="n">
        <x:v>24</x:v>
      </x:c>
      <x:c r="F20" s="10" t="n">
        <x:v>35</x:v>
      </x:c>
      <x:c r="G20" s="10" t="n">
        <x:v>35</x:v>
      </x:c>
      <x:c r="H20" s="10" t="n">
        <x:v>3070</x:v>
      </x:c>
      <x:c r="I20" s="10" t="n">
        <x:v>34.1</x:v>
      </x:c>
      <x:c r="J20" s="10" t="n">
        <x:v>1</x:v>
      </x:c>
      <x:c r="K20" s="10" t="n">
        <x:v>0</x:v>
      </x:c>
      <x:c r="L20" s="34" t="n">
        <x:v>1</x:v>
      </x:c>
    </x:row>
    <x:row r="21">
      <x:c r="A21" s="39" t="n">
        <x:v>8</x:v>
      </x:c>
      <x:c r="B21" s="33" t="str">
        <x:v>Ricky Newman</x:v>
      </x:c>
      <x:c r="C21" s="10" t="str">
        <x:v>eng ENG</x:v>
      </x:c>
      <x:c r="D21" s="10" t="str">
        <x:v>MF</x:v>
      </x:c>
      <x:c r="E21" s="10" t="n">
        <x:v>23</x:v>
      </x:c>
      <x:c r="F21" s="10" t="n">
        <x:v>35</x:v>
      </x:c>
      <x:c r="G21" s="10" t="n">
        <x:v>32</x:v>
      </x:c>
      <x:c r="H21" s="10" t="n">
        <x:v>2913</x:v>
      </x:c>
      <x:c r="I21" s="10" t="n">
        <x:v>32.4</x:v>
      </x:c>
      <x:c r="J21" s="10" t="n">
        <x:v>3</x:v>
      </x:c>
      <x:c r="K21" s="10" t="n">
        <x:v>3</x:v>
      </x:c>
      <x:c r="L21" s="34" t="n">
        <x:v>6</x:v>
      </x:c>
    </x:row>
    <x:row r="22">
      <x:c r="A22" s="39" t="n">
        <x:v>9</x:v>
      </x:c>
      <x:c r="B22" s="33" t="str">
        <x:v>Darren Patterson</x:v>
      </x:c>
      <x:c r="C22" s="10" t="str">
        <x:v>nir NIR</x:v>
      </x:c>
      <x:c r="D22" s="10" t="str">
        <x:v>DF</x:v>
      </x:c>
      <x:c r="E22" s="10" t="n">
        <x:v>24</x:v>
      </x:c>
      <x:c r="F22" s="10" t="n">
        <x:v>22</x:v>
      </x:c>
      <x:c r="G22" s="10" t="n">
        <x:v>22</x:v>
      </x:c>
      <x:c r="H22" s="10" t="n">
        <x:v>1849</x:v>
      </x:c>
      <x:c r="I22" s="10" t="n">
        <x:v>20.5</x:v>
      </x:c>
      <x:c r="J22" s="10" t="n">
        <x:v>1</x:v>
      </x:c>
      <x:c r="K22" s="10" t="n">
        <x:v>0</x:v>
      </x:c>
      <x:c r="L22" s="34" t="n">
        <x:v>1</x:v>
      </x:c>
    </x:row>
    <x:row r="23">
      <x:c r="A23" s="39" t="n">
        <x:v>10</x:v>
      </x:c>
      <x:c r="B23" s="33" t="str">
        <x:v>Darren Pitcher</x:v>
      </x:c>
      <x:c r="C23" s="10" t="str">
        <x:v>eng ENG</x:v>
      </x:c>
      <x:c r="D23" s="10" t="str">
        <x:v>DF,MF</x:v>
      </x:c>
      <x:c r="E23" s="10" t="n">
        <x:v>24</x:v>
      </x:c>
      <x:c r="F23" s="10" t="n">
        <x:v>25</x:v>
      </x:c>
      <x:c r="G23" s="10" t="n">
        <x:v>21</x:v>
      </x:c>
      <x:c r="H23" s="10" t="n">
        <x:v>1963</x:v>
      </x:c>
      <x:c r="I23" s="10" t="n">
        <x:v>21.8</x:v>
      </x:c>
      <x:c r="J23" s="10" t="n">
        <x:v>0</x:v>
      </x:c>
      <x:c r="K23" s="10" t="n">
        <x:v>0</x:v>
      </x:c>
      <x:c r="L23" s="34" t="n">
        <x:v>0</x:v>
      </x:c>
    </x:row>
    <x:row r="24">
      <x:c r="A24" s="39" t="n">
        <x:v>11</x:v>
      </x:c>
      <x:c r="B24" s="33" t="str">
        <x:v>John Humphrey</x:v>
      </x:c>
      <x:c r="C24" s="10" t="str">
        <x:v>eng ENG</x:v>
      </x:c>
      <x:c r="D24" s="10" t="str">
        <x:v>DF</x:v>
      </x:c>
      <x:c r="E24" s="10" t="n">
        <x:v>33</x:v>
      </x:c>
      <x:c r="F24" s="10" t="n">
        <x:v>21</x:v>
      </x:c>
      <x:c r="G24" s="10" t="n">
        <x:v>19</x:v>
      </x:c>
      <x:c r="H24" s="10" t="n">
        <x:v>1758</x:v>
      </x:c>
      <x:c r="I24" s="10" t="n">
        <x:v>19.5</x:v>
      </x:c>
      <x:c r="J24" s="10" t="n">
        <x:v>0</x:v>
      </x:c>
      <x:c r="K24" s="10" t="n">
        <x:v>0</x:v>
      </x:c>
      <x:c r="L24" s="34" t="n">
        <x:v>0</x:v>
      </x:c>
    </x:row>
    <x:row r="25">
      <x:c r="A25" s="39" t="n">
        <x:v>12</x:v>
      </x:c>
      <x:c r="B25" s="33" t="str">
        <x:v>Andy Preece</x:v>
      </x:c>
      <x:c r="C25" s="10" t="str">
        <x:v>eng ENG</x:v>
      </x:c>
      <x:c r="D25" s="10" t="str">
        <x:v>FW</x:v>
      </x:c>
      <x:c r="E25" s="10" t="n">
        <x:v>27</x:v>
      </x:c>
      <x:c r="F25" s="10" t="n">
        <x:v>20</x:v>
      </x:c>
      <x:c r="G25" s="10" t="n">
        <x:v>17</x:v>
      </x:c>
      <x:c r="H25" s="10" t="n">
        <x:v>1446</x:v>
      </x:c>
      <x:c r="I25" s="10" t="n">
        <x:v>16.1</x:v>
      </x:c>
      <x:c r="J25" s="10" t="n">
        <x:v>4</x:v>
      </x:c>
      <x:c r="K25" s="10" t="n">
        <x:v>2</x:v>
      </x:c>
      <x:c r="L25" s="34" t="n">
        <x:v>6</x:v>
      </x:c>
    </x:row>
    <x:row r="26">
      <x:c r="A26" s="39" t="n">
        <x:v>13</x:v>
      </x:c>
      <x:c r="B26" s="33" t="str">
        <x:v>Iain Dowie</x:v>
      </x:c>
      <x:c r="C26" s="10" t="str">
        <x:v>nir NIR</x:v>
      </x:c>
      <x:c r="D26" s="10" t="str">
        <x:v>FW</x:v>
      </x:c>
      <x:c r="E26" s="10" t="n">
        <x:v>29</x:v>
      </x:c>
      <x:c r="F26" s="10" t="n">
        <x:v>15</x:v>
      </x:c>
      <x:c r="G26" s="10" t="n">
        <x:v>15</x:v>
      </x:c>
      <x:c r="H26" s="10" t="n">
        <x:v>1314</x:v>
      </x:c>
      <x:c r="I26" s="10" t="n">
        <x:v>14.6</x:v>
      </x:c>
      <x:c r="J26" s="10" t="n">
        <x:v>4</x:v>
      </x:c>
      <x:c r="K26" s="10" t="n">
        <x:v>0</x:v>
      </x:c>
      <x:c r="L26" s="34" t="n">
        <x:v>4</x:v>
      </x:c>
    </x:row>
    <x:row r="27">
      <x:c r="A27" s="39" t="n">
        <x:v>14</x:v>
      </x:c>
      <x:c r="B27" s="33" t="str">
        <x:v>Bobby Bowry</x:v>
      </x:c>
      <x:c r="C27" s="10" t="str">
        <x:v>kn SKN</x:v>
      </x:c>
      <x:c r="D27" s="10" t="str">
        <x:v>FW,MF</x:v>
      </x:c>
      <x:c r="E27" s="10" t="n">
        <x:v>23</x:v>
      </x:c>
      <x:c r="F27" s="10" t="n">
        <x:v>18</x:v>
      </x:c>
      <x:c r="G27" s="10" t="n">
        <x:v>13</x:v>
      </x:c>
      <x:c r="H27" s="10" t="n">
        <x:v>1126</x:v>
      </x:c>
      <x:c r="I27" s="10" t="n">
        <x:v>12.5</x:v>
      </x:c>
      <x:c r="J27" s="10" t="n">
        <x:v>0</x:v>
      </x:c>
      <x:c r="K27" s="10" t="n">
        <x:v>0</x:v>
      </x:c>
      <x:c r="L27" s="34" t="n">
        <x:v>0</x:v>
      </x:c>
    </x:row>
    <x:row r="28">
      <x:c r="A28" s="39" t="n">
        <x:v>15</x:v>
      </x:c>
      <x:c r="B28" s="33" t="str">
        <x:v>Eric Young</x:v>
      </x:c>
      <x:c r="C28" s="10" t="str">
        <x:v>wls WAL</x:v>
      </x:c>
      <x:c r="D28" s="10" t="str">
        <x:v>DF</x:v>
      </x:c>
      <x:c r="E28" s="10" t="n">
        <x:v>34</x:v>
      </x:c>
      <x:c r="F28" s="10" t="n">
        <x:v>13</x:v>
      </x:c>
      <x:c r="G28" s="10" t="n">
        <x:v>13</x:v>
      </x:c>
      <x:c r="H28" s="10" t="n">
        <x:v>1048</x:v>
      </x:c>
      <x:c r="I28" s="10" t="n">
        <x:v>11.6</x:v>
      </x:c>
      <x:c r="J28" s="10" t="n">
        <x:v>0</x:v>
      </x:c>
      <x:c r="K28" s="10" t="n">
        <x:v>1</x:v>
      </x:c>
      <x:c r="L28" s="34" t="n">
        <x:v>1</x:v>
      </x:c>
    </x:row>
    <x:row r="29">
      <x:c r="A29" s="39" t="n">
        <x:v>16</x:v>
      </x:c>
      <x:c r="B29" s="33" t="str">
        <x:v>Ray Houghton</x:v>
      </x:c>
      <x:c r="C29" s="10" t="str">
        <x:v>ie IRL</x:v>
      </x:c>
      <x:c r="D29" s="10" t="str">
        <x:v>MF</x:v>
      </x:c>
      <x:c r="E29" s="10" t="n">
        <x:v>32</x:v>
      </x:c>
      <x:c r="F29" s="10" t="n">
        <x:v>10</x:v>
      </x:c>
      <x:c r="G29" s="10" t="n">
        <x:v>10</x:v>
      </x:c>
      <x:c r="H29" s="10" t="n">
        <x:v>898</x:v>
      </x:c>
      <x:c r="I29" s="10" t="n">
        <x:v>10</x:v>
      </x:c>
      <x:c r="J29" s="10" t="n">
        <x:v>2</x:v>
      </x:c>
      <x:c r="K29" s="10" t="n">
        <x:v>0</x:v>
      </x:c>
      <x:c r="L29" s="34" t="n">
        <x:v>2</x:v>
      </x:c>
    </x:row>
    <x:row r="30">
      <x:c r="A30" s="39" t="n">
        <x:v>17</x:v>
      </x:c>
      <x:c r="B30" s="33" t="str">
        <x:v>Bruce Dyer</x:v>
      </x:c>
      <x:c r="C30" s="10" t="str">
        <x:v>eng ENG</x:v>
      </x:c>
      <x:c r="D30" s="10" t="str">
        <x:v>FW</x:v>
      </x:c>
      <x:c r="E30" s="10" t="n">
        <x:v>19</x:v>
      </x:c>
      <x:c r="F30" s="10" t="n">
        <x:v>16</x:v>
      </x:c>
      <x:c r="G30" s="10" t="n">
        <x:v>7</x:v>
      </x:c>
      <x:c r="H30" s="10" t="n">
        <x:v>867</x:v>
      </x:c>
      <x:c r="I30" s="10" t="n">
        <x:v>9.6</x:v>
      </x:c>
      <x:c r="J30" s="10" t="n">
        <x:v>1</x:v>
      </x:c>
      <x:c r="K30" s="10" t="n">
        <x:v>2</x:v>
      </x:c>
      <x:c r="L30" s="34" t="n">
        <x:v>3</x:v>
      </x:c>
    </x:row>
    <x:row r="31">
      <x:c r="A31" s="39" t="n">
        <x:v>18</x:v>
      </x:c>
      <x:c r="B31" s="33" t="str">
        <x:v>George Ndah</x:v>
      </x:c>
      <x:c r="C31" s="10" t="str">
        <x:v>eng ENG</x:v>
      </x:c>
      <x:c r="D31" s="10" t="str">
        <x:v>FW</x:v>
      </x:c>
      <x:c r="E31" s="10" t="n">
        <x:v>19</x:v>
      </x:c>
      <x:c r="F31" s="10" t="n">
        <x:v>12</x:v>
      </x:c>
      <x:c r="G31" s="10" t="n">
        <x:v>5</x:v>
      </x:c>
      <x:c r="H31" s="10" t="n">
        <x:v>543</x:v>
      </x:c>
      <x:c r="I31" s="10" t="n">
        <x:v>6</x:v>
      </x:c>
      <x:c r="J31" s="10" t="n">
        <x:v>1</x:v>
      </x:c>
      <x:c r="K31" s="10" t="n">
        <x:v>1</x:v>
      </x:c>
      <x:c r="L31" s="34" t="n">
        <x:v>2</x:v>
      </x:c>
    </x:row>
    <x:row r="32">
      <x:c r="A32" s="39" t="n">
        <x:v>19</x:v>
      </x:c>
      <x:c r="B32" s="33" t="str">
        <x:v>Rhys Wilmot</x:v>
      </x:c>
      <x:c r="C32" s="10" t="str">
        <x:v>wls WAL</x:v>
      </x:c>
      <x:c r="D32" s="10" t="str">
        <x:v>GK</x:v>
      </x:c>
      <x:c r="E32" s="10" t="n">
        <x:v>32</x:v>
      </x:c>
      <x:c r="F32" s="10" t="n">
        <x:v>6</x:v>
      </x:c>
      <x:c r="G32" s="10" t="n">
        <x:v>5</x:v>
      </x:c>
      <x:c r="H32" s="10" t="n">
        <x:v>454</x:v>
      </x:c>
      <x:c r="I32" s="10" t="n">
        <x:v>5</x:v>
      </x:c>
      <x:c r="J32" s="10" t="n">
        <x:v>0</x:v>
      </x:c>
      <x:c r="K32" s="10" t="n">
        <x:v>0</x:v>
      </x:c>
      <x:c r="L32" s="34" t="n">
        <x:v>0</x:v>
      </x:c>
    </x:row>
    <x:row r="33">
      <x:c r="A33" s="39" t="n">
        <x:v>20</x:v>
      </x:c>
      <x:c r="B33" s="33" t="str">
        <x:v>Simon Rodger</x:v>
      </x:c>
      <x:c r="C33" s="10" t="str">
        <x:v>eng ENG</x:v>
      </x:c>
      <x:c r="D33" s="10" t="str">
        <x:v>MF</x:v>
      </x:c>
      <x:c r="E33" s="10" t="n">
        <x:v>22</x:v>
      </x:c>
      <x:c r="F33" s="10" t="n">
        <x:v>4</x:v>
      </x:c>
      <x:c r="G33" s="10" t="n">
        <x:v>3</x:v>
      </x:c>
      <x:c r="H33" s="10" t="n">
        <x:v>302</x:v>
      </x:c>
      <x:c r="I33" s="10" t="n">
        <x:v>3.4</x:v>
      </x:c>
      <x:c r="J33" s="10" t="n">
        <x:v>0</x:v>
      </x:c>
      <x:c r="K33" s="10" t="n">
        <x:v>0</x:v>
      </x:c>
      <x:c r="L33" s="34" t="n">
        <x:v>0</x:v>
      </x:c>
    </x:row>
    <x:row r="34">
      <x:c r="A34" s="39" t="n">
        <x:v>21</x:v>
      </x:c>
      <x:c r="B34" s="33" t="str">
        <x:v>Paul Williams</x:v>
      </x:c>
      <x:c r="C34" s="10" t="str">
        <x:v>eng ENG</x:v>
      </x:c>
      <x:c r="D34" s="10" t="str">
        <x:v>FW</x:v>
      </x:c>
      <x:c r="E34" s="10" t="n">
        <x:v>28</x:v>
      </x:c>
      <x:c r="F34" s="10" t="n">
        <x:v>4</x:v>
      </x:c>
      <x:c r="G34" s="10" t="n">
        <x:v>3</x:v>
      </x:c>
      <x:c r="H34" s="10" t="n">
        <x:v>253</x:v>
      </x:c>
      <x:c r="I34" s="10" t="n">
        <x:v>2.8</x:v>
      </x:c>
      <x:c r="J34" s="10" t="n">
        <x:v>0</x:v>
      </x:c>
      <x:c r="K34" s="10" t="n">
        <x:v>0</x:v>
      </x:c>
      <x:c r="L34" s="34" t="n">
        <x:v>0</x:v>
      </x:c>
    </x:row>
    <x:row r="35">
      <x:c r="A35" s="39" t="n">
        <x:v>22</x:v>
      </x:c>
      <x:c r="B35" s="33" t="str">
        <x:v>Damian Matthew</x:v>
      </x:c>
      <x:c r="C35" s="10" t="str">
        <x:v>eng ENG</x:v>
      </x:c>
      <x:c r="D35" s="10" t="str">
        <x:v>MF</x:v>
      </x:c>
      <x:c r="E35" s="10" t="n">
        <x:v>23</x:v>
      </x:c>
      <x:c r="F35" s="10" t="n">
        <x:v>4</x:v>
      </x:c>
      <x:c r="G35" s="10" t="n">
        <x:v>2</x:v>
      </x:c>
      <x:c r="H35" s="10" t="n">
        <x:v>202</x:v>
      </x:c>
      <x:c r="I35" s="10" t="n">
        <x:v>2.2</x:v>
      </x:c>
      <x:c r="J35" s="10" t="n">
        <x:v>0</x:v>
      </x:c>
      <x:c r="K35" s="10" t="n">
        <x:v>0</x:v>
      </x:c>
      <x:c r="L35" s="34" t="n">
        <x:v>0</x:v>
      </x:c>
    </x:row>
    <x:row r="36">
      <x:c r="A36" s="39" t="n">
        <x:v>23</x:v>
      </x:c>
      <x:c r="B36" s="33" t="str">
        <x:v>Ian Cox</x:v>
      </x:c>
      <x:c r="C36" s="10" t="str">
        <x:v>tt TRI</x:v>
      </x:c>
      <x:c r="D36" s="10" t="str">
        <x:v>DF</x:v>
      </x:c>
      <x:c r="E36" s="10" t="n">
        <x:v>23</x:v>
      </x:c>
      <x:c r="F36" s="10" t="n">
        <x:v>11</x:v>
      </x:c>
      <x:c r="G36" s="10" t="n">
        <x:v>1</x:v>
      </x:c>
      <x:c r="H36" s="10" t="n">
        <x:v>290</x:v>
      </x:c>
      <x:c r="I36" s="10" t="n">
        <x:v>3.2</x:v>
      </x:c>
      <x:c r="J36" s="10" t="n">
        <x:v>0</x:v>
      </x:c>
      <x:c r="K36" s="10" t="n">
        <x:v>0</x:v>
      </x:c>
      <x:c r="L36" s="34" t="n">
        <x:v>0</x:v>
      </x:c>
    </x:row>
    <x:row r="37">
      <x:c r="A37" s="39" t="n">
        <x:v>24</x:v>
      </x:c>
      <x:c r="B37" s="33" t="str">
        <x:v>Ray Wilkins</x:v>
      </x:c>
      <x:c r="C37" s="10" t="str">
        <x:v>eng ENG</x:v>
      </x:c>
      <x:c r="D37" s="10" t="str">
        <x:v>MF</x:v>
      </x:c>
      <x:c r="E37" s="10" t="n">
        <x:v>37</x:v>
      </x:c>
      <x:c r="F37" s="10" t="n">
        <x:v>1</x:v>
      </x:c>
      <x:c r="G37" s="10" t="n">
        <x:v>1</x:v>
      </x:c>
      <x:c r="H37" s="10" t="n">
        <x:v>81</x:v>
      </x:c>
      <x:c r="I37" s="10" t="n">
        <x:v>0.9</x:v>
      </x:c>
      <x:c r="J37" s="10" t="n">
        <x:v>0</x:v>
      </x:c>
      <x:c r="K37" s="10" t="n">
        <x:v>0</x:v>
      </x:c>
      <x:c r="L37" s="34" t="n">
        <x:v>0</x:v>
      </x:c>
    </x:row>
    <x:row r="38">
      <x:c r="A38" s="39" t="n">
        <x:v>25</x:v>
      </x:c>
      <x:c r="B38" s="33" t="str">
        <x:v>Brian Launders</x:v>
      </x:c>
      <x:c r="C38" s="10" t="str">
        <x:v>ie IRL</x:v>
      </x:c>
      <x:c r="D38" s="10" t="str">
        <x:v>MF</x:v>
      </x:c>
      <x:c r="E38" s="10" t="n">
        <x:v>18</x:v>
      </x:c>
      <x:c r="F38" s="10" t="n">
        <x:v>2</x:v>
      </x:c>
      <x:c r="G38" s="10" t="n">
        <x:v>0</x:v>
      </x:c>
      <x:c r="H38" s="10" t="n">
        <x:v>71</x:v>
      </x:c>
      <x:c r="I38" s="10" t="n">
        <x:v>0.8</x:v>
      </x:c>
      <x:c r="J38" s="10" t="n">
        <x:v>0</x:v>
      </x:c>
      <x:c r="K38" s="10" t="n">
        <x:v>0</x:v>
      </x:c>
      <x:c r="L38" s="34" t="n">
        <x:v>0</x:v>
      </x:c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08</x:v>
      </x:c>
      <x:c r="B1" s="4" t="str">
        <x:v>PAGE302 — CLUB DATA COLLECTION — SLOT 08</x:v>
      </x:c>
      <x:c r="C1" s="4" t="str">
        <x:v>PAGE302 — CLUB DATA COLLECTION — SLOT 08</x:v>
      </x:c>
      <x:c r="D1" s="4" t="str">
        <x:v>PAGE302 — CLUB DATA COLLECTION — SLOT 08</x:v>
      </x:c>
      <x:c r="E1" s="4" t="str">
        <x:v>PAGE302 — CLUB DATA COLLECTION — SLOT 08</x:v>
      </x:c>
      <x:c r="F1" s="4" t="str">
        <x:v>PAGE302 — CLUB DATA COLLECTION — SLOT 08</x:v>
      </x:c>
      <x:c r="G1" s="4" t="str">
        <x:v>PAGE302 — CLUB DATA COLLECTION — SLOT 08</x:v>
      </x:c>
      <x:c r="H1" s="4" t="str">
        <x:v>PAGE302 — CLUB DATA COLLECTION — SLOT 08</x:v>
      </x:c>
      <x:c r="I1" s="4" t="str">
        <x:v>PAGE302 — CLUB DATA COLLECTION — SLOT 08</x:v>
      </x:c>
      <x:c r="J1" s="4" t="str">
        <x:v>PAGE302 — CLUB DATA COLLECTION — SLOT 08</x:v>
      </x:c>
      <x:c r="K1" s="4" t="str">
        <x:v>PAGE302 — CLUB DATA COLLECTION — SLOT 08</x:v>
      </x:c>
      <x:c r="L1" s="4" t="str">
        <x:v>PAGE302 — CLUB DATA COLLECTION — SLOT 08</x:v>
      </x:c>
    </x:row>
    <x:row r="3">
      <x:c r="A3" s="12" t="str">
        <x:v>TEAM CODE:</x:v>
      </x:c>
      <x:c r="B3" s="23" t="str">
        <x:f>IF('Pack Planner'!$E$18="","",'Pack Planner'!$E$18)</x:f>
        <x:v>FUL1011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Planner'!$C$18="","",'Pack Planner'!$C$18)</x:f>
        <x:v>Fulham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Planner'!$D$18="","",'Pack Planner'!$D$18)</x:f>
        <x:v>2010-11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Planner'!$B$18</x:f>
        <x:v>Other current Premier League club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 t="str">
        <x:v>https://fbref.com/en/squads/fd962109/2010-2011/Fulham-Stats</x:v>
      </x:c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 t="str">
        <x:v>Mark Hughes</x:v>
      </x:c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 t="n">
        <x:v>38</x:v>
      </x:c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 t="str">
        <x:v>Aaron Hughes</x:v>
      </x:c>
      <x:c r="C14" s="31" t="str">
        <x:v>nir NIR</x:v>
      </x:c>
      <x:c r="D14" s="31" t="str">
        <x:v>DF</x:v>
      </x:c>
      <x:c r="E14" s="31" t="n">
        <x:v>30</x:v>
      </x:c>
      <x:c r="F14" s="31" t="n">
        <x:v>38</x:v>
      </x:c>
      <x:c r="G14" s="31" t="n">
        <x:v>38</x:v>
      </x:c>
      <x:c r="H14" s="31" t="n">
        <x:v>3404</x:v>
      </x:c>
      <x:c r="I14" s="31" t="n">
        <x:v>37.8</x:v>
      </x:c>
      <x:c r="J14" s="31" t="n">
        <x:v>1</x:v>
      </x:c>
      <x:c r="K14" s="31" t="n">
        <x:v>0</x:v>
      </x:c>
      <x:c r="L14" s="32" t="n">
        <x:v>1</x:v>
      </x:c>
    </x:row>
    <x:row r="15">
      <x:c r="A15" s="39" t="n">
        <x:v>2</x:v>
      </x:c>
      <x:c r="B15" s="33" t="str">
        <x:v>Brede Hangeland</x:v>
      </x:c>
      <x:c r="C15" s="10" t="str">
        <x:v>no NOR</x:v>
      </x:c>
      <x:c r="D15" s="10" t="str">
        <x:v>DF</x:v>
      </x:c>
      <x:c r="E15" s="10" t="n">
        <x:v>29</x:v>
      </x:c>
      <x:c r="F15" s="10" t="n">
        <x:v>37</x:v>
      </x:c>
      <x:c r="G15" s="10" t="n">
        <x:v>37</x:v>
      </x:c>
      <x:c r="H15" s="10" t="n">
        <x:v>3330</x:v>
      </x:c>
      <x:c r="I15" s="10" t="n">
        <x:v>37</x:v>
      </x:c>
      <x:c r="J15" s="10" t="n">
        <x:v>6</x:v>
      </x:c>
      <x:c r="K15" s="10" t="n">
        <x:v>1</x:v>
      </x:c>
      <x:c r="L15" s="34" t="n">
        <x:v>7</x:v>
      </x:c>
    </x:row>
    <x:row r="16">
      <x:c r="A16" s="39" t="n">
        <x:v>3</x:v>
      </x:c>
      <x:c r="B16" s="33" t="str">
        <x:v>Danny Murphy</x:v>
      </x:c>
      <x:c r="C16" s="10" t="str">
        <x:v>eng ENG</x:v>
      </x:c>
      <x:c r="D16" s="10" t="str">
        <x:v>MF</x:v>
      </x:c>
      <x:c r="E16" s="10" t="n">
        <x:v>33</x:v>
      </x:c>
      <x:c r="F16" s="10" t="n">
        <x:v>37</x:v>
      </x:c>
      <x:c r="G16" s="10" t="n">
        <x:v>37</x:v>
      </x:c>
      <x:c r="H16" s="10" t="n">
        <x:v>3111</x:v>
      </x:c>
      <x:c r="I16" s="10" t="n">
        <x:v>34.6</x:v>
      </x:c>
      <x:c r="J16" s="10" t="n">
        <x:v>0</x:v>
      </x:c>
      <x:c r="K16" s="10" t="n">
        <x:v>4</x:v>
      </x:c>
      <x:c r="L16" s="34" t="n">
        <x:v>4</x:v>
      </x:c>
    </x:row>
    <x:row r="17">
      <x:c r="A17" s="39" t="n">
        <x:v>4</x:v>
      </x:c>
      <x:c r="B17" s="33" t="str">
        <x:v>Clint Dempsey</x:v>
      </x:c>
      <x:c r="C17" s="10" t="str">
        <x:v>us USA</x:v>
      </x:c>
      <x:c r="D17" s="10" t="str">
        <x:v>FW,MF</x:v>
      </x:c>
      <x:c r="E17" s="10" t="n">
        <x:v>27</x:v>
      </x:c>
      <x:c r="F17" s="10" t="n">
        <x:v>37</x:v>
      </x:c>
      <x:c r="G17" s="10" t="n">
        <x:v>35</x:v>
      </x:c>
      <x:c r="H17" s="10" t="n">
        <x:v>3091</x:v>
      </x:c>
      <x:c r="I17" s="10" t="n">
        <x:v>34.3</x:v>
      </x:c>
      <x:c r="J17" s="10" t="n">
        <x:v>12</x:v>
      </x:c>
      <x:c r="K17" s="10" t="n">
        <x:v>3</x:v>
      </x:c>
      <x:c r="L17" s="34" t="n">
        <x:v>15</x:v>
      </x:c>
    </x:row>
    <x:row r="18">
      <x:c r="A18" s="39" t="n">
        <x:v>5</x:v>
      </x:c>
      <x:c r="B18" s="33" t="str">
        <x:v>Mark Schwarzer</x:v>
      </x:c>
      <x:c r="C18" s="10" t="str">
        <x:v>au AUS</x:v>
      </x:c>
      <x:c r="D18" s="10" t="str">
        <x:v>GK</x:v>
      </x:c>
      <x:c r="E18" s="10" t="n">
        <x:v>37</x:v>
      </x:c>
      <x:c r="F18" s="10" t="n">
        <x:v>31</x:v>
      </x:c>
      <x:c r="G18" s="10" t="n">
        <x:v>31</x:v>
      </x:c>
      <x:c r="H18" s="10" t="n">
        <x:v>2790</x:v>
      </x:c>
      <x:c r="I18" s="10" t="n">
        <x:v>31</x:v>
      </x:c>
      <x:c r="J18" s="10" t="n">
        <x:v>0</x:v>
      </x:c>
      <x:c r="K18" s="10" t="n">
        <x:v>0</x:v>
      </x:c>
      <x:c r="L18" s="34" t="n">
        <x:v>0</x:v>
      </x:c>
    </x:row>
    <x:row r="19">
      <x:c r="A19" s="39" t="n">
        <x:v>6</x:v>
      </x:c>
      <x:c r="B19" s="33" t="str">
        <x:v>Chris Baird</x:v>
      </x:c>
      <x:c r="C19" s="10" t="str">
        <x:v>nir NIR</x:v>
      </x:c>
      <x:c r="D19" s="10" t="str">
        <x:v>DF,MF</x:v>
      </x:c>
      <x:c r="E19" s="10" t="n">
        <x:v>28</x:v>
      </x:c>
      <x:c r="F19" s="10" t="n">
        <x:v>29</x:v>
      </x:c>
      <x:c r="G19" s="10" t="n">
        <x:v>25</x:v>
      </x:c>
      <x:c r="H19" s="10" t="n">
        <x:v>2383</x:v>
      </x:c>
      <x:c r="I19" s="10" t="n">
        <x:v>26.5</x:v>
      </x:c>
      <x:c r="J19" s="10" t="n">
        <x:v>2</x:v>
      </x:c>
      <x:c r="K19" s="10" t="n">
        <x:v>1</x:v>
      </x:c>
      <x:c r="L19" s="34" t="n">
        <x:v>3</x:v>
      </x:c>
    </x:row>
    <x:row r="20">
      <x:c r="A20" s="39" t="n">
        <x:v>7</x:v>
      </x:c>
      <x:c r="B20" s="33" t="str">
        <x:v>Simon Davies</x:v>
      </x:c>
      <x:c r="C20" s="10" t="str">
        <x:v>wls WAL</x:v>
      </x:c>
      <x:c r="D20" s="10" t="str">
        <x:v>MF</x:v>
      </x:c>
      <x:c r="E20" s="10" t="n">
        <x:v>30</x:v>
      </x:c>
      <x:c r="F20" s="10" t="n">
        <x:v>30</x:v>
      </x:c>
      <x:c r="G20" s="10" t="n">
        <x:v>25</x:v>
      </x:c>
      <x:c r="H20" s="10" t="n">
        <x:v>2211</x:v>
      </x:c>
      <x:c r="I20" s="10" t="n">
        <x:v>24.6</x:v>
      </x:c>
      <x:c r="J20" s="10" t="n">
        <x:v>4</x:v>
      </x:c>
      <x:c r="K20" s="10" t="n">
        <x:v>4</x:v>
      </x:c>
      <x:c r="L20" s="34" t="n">
        <x:v>8</x:v>
      </x:c>
    </x:row>
    <x:row r="21">
      <x:c r="A21" s="39" t="n">
        <x:v>8</x:v>
      </x:c>
      <x:c r="B21" s="33" t="str">
        <x:v>Dickson Etuhu</x:v>
      </x:c>
      <x:c r="C21" s="10" t="str">
        <x:v>ng NGA</x:v>
      </x:c>
      <x:c r="D21" s="10" t="str">
        <x:v>MF</x:v>
      </x:c>
      <x:c r="E21" s="10" t="n">
        <x:v>28</x:v>
      </x:c>
      <x:c r="F21" s="10" t="n">
        <x:v>28</x:v>
      </x:c>
      <x:c r="G21" s="10" t="n">
        <x:v>23</x:v>
      </x:c>
      <x:c r="H21" s="10" t="n">
        <x:v>1971</x:v>
      </x:c>
      <x:c r="I21" s="10" t="n">
        <x:v>21.9</x:v>
      </x:c>
      <x:c r="J21" s="10" t="n">
        <x:v>2</x:v>
      </x:c>
      <x:c r="K21" s="10" t="n">
        <x:v>2</x:v>
      </x:c>
      <x:c r="L21" s="34" t="n">
        <x:v>4</x:v>
      </x:c>
    </x:row>
    <x:row r="22">
      <x:c r="A22" s="39" t="n">
        <x:v>9</x:v>
      </x:c>
      <x:c r="B22" s="33" t="str">
        <x:v>Mousa Dembélé</x:v>
      </x:c>
      <x:c r="C22" s="10" t="str">
        <x:v>be BEL</x:v>
      </x:c>
      <x:c r="D22" s="10" t="str">
        <x:v>MF</x:v>
      </x:c>
      <x:c r="E22" s="10" t="n">
        <x:v>23</x:v>
      </x:c>
      <x:c r="F22" s="10" t="n">
        <x:v>24</x:v>
      </x:c>
      <x:c r="G22" s="10" t="n">
        <x:v>22</x:v>
      </x:c>
      <x:c r="H22" s="10" t="n">
        <x:v>1915</x:v>
      </x:c>
      <x:c r="I22" s="10" t="n">
        <x:v>21.3</x:v>
      </x:c>
      <x:c r="J22" s="10" t="n">
        <x:v>3</x:v>
      </x:c>
      <x:c r="K22" s="10" t="n">
        <x:v>3</x:v>
      </x:c>
      <x:c r="L22" s="34" t="n">
        <x:v>6</x:v>
      </x:c>
    </x:row>
    <x:row r="23">
      <x:c r="A23" s="39" t="n">
        <x:v>10</x:v>
      </x:c>
      <x:c r="B23" s="33" t="str">
        <x:v>Carlos Salcido</x:v>
      </x:c>
      <x:c r="C23" s="10" t="str">
        <x:v>mx MEX</x:v>
      </x:c>
      <x:c r="D23" s="10" t="str">
        <x:v>DF,MF</x:v>
      </x:c>
      <x:c r="E23" s="10" t="n">
        <x:v>30</x:v>
      </x:c>
      <x:c r="F23" s="10" t="n">
        <x:v>23</x:v>
      </x:c>
      <x:c r="G23" s="10" t="n">
        <x:v>22</x:v>
      </x:c>
      <x:c r="H23" s="10" t="n">
        <x:v>1901</x:v>
      </x:c>
      <x:c r="I23" s="10" t="n">
        <x:v>21.1</x:v>
      </x:c>
      <x:c r="J23" s="10" t="n">
        <x:v>0</x:v>
      </x:c>
      <x:c r="K23" s="10" t="n">
        <x:v>2</x:v>
      </x:c>
      <x:c r="L23" s="34" t="n">
        <x:v>2</x:v>
      </x:c>
    </x:row>
    <x:row r="24">
      <x:c r="A24" s="39" t="n">
        <x:v>11</x:v>
      </x:c>
      <x:c r="B24" s="33" t="str">
        <x:v>Damien Duff</x:v>
      </x:c>
      <x:c r="C24" s="10" t="str">
        <x:v>ie IRL</x:v>
      </x:c>
      <x:c r="D24" s="10" t="str">
        <x:v>FW,MF</x:v>
      </x:c>
      <x:c r="E24" s="10" t="n">
        <x:v>31</x:v>
      </x:c>
      <x:c r="F24" s="10" t="n">
        <x:v>24</x:v>
      </x:c>
      <x:c r="G24" s="10" t="n">
        <x:v>22</x:v>
      </x:c>
      <x:c r="H24" s="10" t="n">
        <x:v>1876</x:v>
      </x:c>
      <x:c r="I24" s="10" t="n">
        <x:v>20.8</x:v>
      </x:c>
      <x:c r="J24" s="10" t="n">
        <x:v>4</x:v>
      </x:c>
      <x:c r="K24" s="10" t="n">
        <x:v>2</x:v>
      </x:c>
      <x:c r="L24" s="34" t="n">
        <x:v>6</x:v>
      </x:c>
    </x:row>
    <x:row r="25">
      <x:c r="A25" s="39" t="n">
        <x:v>12</x:v>
      </x:c>
      <x:c r="B25" s="33" t="str">
        <x:v>Andrew Johnson</x:v>
      </x:c>
      <x:c r="C25" s="10" t="str">
        <x:v>eng ENG</x:v>
      </x:c>
      <x:c r="D25" s="10" t="str">
        <x:v>FW</x:v>
      </x:c>
      <x:c r="E25" s="10" t="n">
        <x:v>29</x:v>
      </x:c>
      <x:c r="F25" s="10" t="n">
        <x:v>27</x:v>
      </x:c>
      <x:c r="G25" s="10" t="n">
        <x:v>15</x:v>
      </x:c>
      <x:c r="H25" s="10" t="n">
        <x:v>1559</x:v>
      </x:c>
      <x:c r="I25" s="10" t="n">
        <x:v>17.3</x:v>
      </x:c>
      <x:c r="J25" s="10" t="n">
        <x:v>3</x:v>
      </x:c>
      <x:c r="K25" s="10" t="n">
        <x:v>3</x:v>
      </x:c>
      <x:c r="L25" s="34" t="n">
        <x:v>6</x:v>
      </x:c>
    </x:row>
    <x:row r="26">
      <x:c r="A26" s="39" t="n">
        <x:v>13</x:v>
      </x:c>
      <x:c r="B26" s="33" t="str">
        <x:v>John Paintsil</x:v>
      </x:c>
      <x:c r="C26" s="10" t="str">
        <x:v>gh GHA</x:v>
      </x:c>
      <x:c r="D26" s="10" t="str">
        <x:v>DF,MF</x:v>
      </x:c>
      <x:c r="E26" s="10" t="n">
        <x:v>29</x:v>
      </x:c>
      <x:c r="F26" s="10" t="n">
        <x:v>16</x:v>
      </x:c>
      <x:c r="G26" s="10" t="n">
        <x:v>15</x:v>
      </x:c>
      <x:c r="H26" s="10" t="n">
        <x:v>1343</x:v>
      </x:c>
      <x:c r="I26" s="10" t="n">
        <x:v>14.9</x:v>
      </x:c>
      <x:c r="J26" s="10" t="n">
        <x:v>0</x:v>
      </x:c>
      <x:c r="K26" s="10" t="n">
        <x:v>0</x:v>
      </x:c>
      <x:c r="L26" s="34" t="n">
        <x:v>0</x:v>
      </x:c>
    </x:row>
    <x:row r="27">
      <x:c r="A27" s="39" t="n">
        <x:v>14</x:v>
      </x:c>
      <x:c r="B27" s="33" t="str">
        <x:v>Zoltán Gera</x:v>
      </x:c>
      <x:c r="C27" s="10" t="str">
        <x:v>hu HUN</x:v>
      </x:c>
      <x:c r="D27" s="10" t="str">
        <x:v>MF</x:v>
      </x:c>
      <x:c r="E27" s="10" t="n">
        <x:v>31</x:v>
      </x:c>
      <x:c r="F27" s="10" t="n">
        <x:v>27</x:v>
      </x:c>
      <x:c r="G27" s="10" t="n">
        <x:v>10</x:v>
      </x:c>
      <x:c r="H27" s="10" t="n">
        <x:v>1118</x:v>
      </x:c>
      <x:c r="I27" s="10" t="n">
        <x:v>12.4</x:v>
      </x:c>
      <x:c r="J27" s="10" t="n">
        <x:v>1</x:v>
      </x:c>
      <x:c r="K27" s="10" t="n">
        <x:v>1</x:v>
      </x:c>
      <x:c r="L27" s="34" t="n">
        <x:v>2</x:v>
      </x:c>
    </x:row>
    <x:row r="28">
      <x:c r="A28" s="39" t="n">
        <x:v>15</x:v>
      </x:c>
      <x:c r="B28" s="33" t="str">
        <x:v>Steve Sidwell</x:v>
      </x:c>
      <x:c r="C28" s="10" t="str">
        <x:v>eng ENG</x:v>
      </x:c>
      <x:c r="D28" s="10" t="str">
        <x:v>MF</x:v>
      </x:c>
      <x:c r="E28" s="10" t="n">
        <x:v>27</x:v>
      </x:c>
      <x:c r="F28" s="10" t="n">
        <x:v>12</x:v>
      </x:c>
      <x:c r="G28" s="10" t="n">
        <x:v>10</x:v>
      </x:c>
      <x:c r="H28" s="10" t="n">
        <x:v>943</x:v>
      </x:c>
      <x:c r="I28" s="10" t="n">
        <x:v>10.5</x:v>
      </x:c>
      <x:c r="J28" s="10" t="n">
        <x:v>2</x:v>
      </x:c>
      <x:c r="K28" s="10" t="n">
        <x:v>1</x:v>
      </x:c>
      <x:c r="L28" s="34" t="n">
        <x:v>3</x:v>
      </x:c>
    </x:row>
    <x:row r="29">
      <x:c r="A29" s="39" t="n">
        <x:v>16</x:v>
      </x:c>
      <x:c r="B29" s="33" t="str">
        <x:v>Bobby Zamora</x:v>
      </x:c>
      <x:c r="C29" s="10" t="str">
        <x:v>eng ENG</x:v>
      </x:c>
      <x:c r="D29" s="10" t="str">
        <x:v>FW</x:v>
      </x:c>
      <x:c r="E29" s="10" t="n">
        <x:v>29</x:v>
      </x:c>
      <x:c r="F29" s="10" t="n">
        <x:v>14</x:v>
      </x:c>
      <x:c r="G29" s="10" t="n">
        <x:v>9</x:v>
      </x:c>
      <x:c r="H29" s="10" t="n">
        <x:v>757</x:v>
      </x:c>
      <x:c r="I29" s="10" t="n">
        <x:v>8.4</x:v>
      </x:c>
      <x:c r="J29" s="10" t="n">
        <x:v>5</x:v>
      </x:c>
      <x:c r="K29" s="10" t="n">
        <x:v>5</x:v>
      </x:c>
      <x:c r="L29" s="34" t="n">
        <x:v>10</x:v>
      </x:c>
    </x:row>
    <x:row r="30">
      <x:c r="A30" s="39" t="n">
        <x:v>17</x:v>
      </x:c>
      <x:c r="B30" s="33" t="str">
        <x:v>Stephen Kelly</x:v>
      </x:c>
      <x:c r="C30" s="10" t="str">
        <x:v>ie IRL</x:v>
      </x:c>
      <x:c r="D30" s="10" t="str">
        <x:v>DF</x:v>
      </x:c>
      <x:c r="E30" s="10" t="n">
        <x:v>26</x:v>
      </x:c>
      <x:c r="F30" s="10" t="n">
        <x:v>10</x:v>
      </x:c>
      <x:c r="G30" s="10" t="n">
        <x:v>8</x:v>
      </x:c>
      <x:c r="H30" s="10" t="n">
        <x:v>729</x:v>
      </x:c>
      <x:c r="I30" s="10" t="n">
        <x:v>8.1</x:v>
      </x:c>
      <x:c r="J30" s="10" t="n">
        <x:v>0</x:v>
      </x:c>
      <x:c r="K30" s="10" t="n">
        <x:v>0</x:v>
      </x:c>
      <x:c r="L30" s="34" t="n">
        <x:v>0</x:v>
      </x:c>
    </x:row>
    <x:row r="31">
      <x:c r="A31" s="39" t="n">
        <x:v>18</x:v>
      </x:c>
      <x:c r="B31" s="33" t="str">
        <x:v>David Stockdale</x:v>
      </x:c>
      <x:c r="C31" s="10" t="str">
        <x:v>eng ENG</x:v>
      </x:c>
      <x:c r="D31" s="10" t="str">
        <x:v>GK</x:v>
      </x:c>
      <x:c r="E31" s="10" t="n">
        <x:v>24</x:v>
      </x:c>
      <x:c r="F31" s="10" t="n">
        <x:v>7</x:v>
      </x:c>
      <x:c r="G31" s="10" t="n">
        <x:v>7</x:v>
      </x:c>
      <x:c r="H31" s="10" t="n">
        <x:v>630</x:v>
      </x:c>
      <x:c r="I31" s="10" t="n">
        <x:v>7</x:v>
      </x:c>
      <x:c r="J31" s="10" t="n">
        <x:v>0</x:v>
      </x:c>
      <x:c r="K31" s="10" t="n">
        <x:v>0</x:v>
      </x:c>
      <x:c r="L31" s="34" t="n">
        <x:v>0</x:v>
      </x:c>
    </x:row>
    <x:row r="32">
      <x:c r="A32" s="39" t="n">
        <x:v>19</x:v>
      </x:c>
      <x:c r="B32" s="33" t="str">
        <x:v>Diomansy Kamara</x:v>
      </x:c>
      <x:c r="C32" s="10" t="str">
        <x:v>sn SEN</x:v>
      </x:c>
      <x:c r="D32" s="10" t="str">
        <x:v>FW</x:v>
      </x:c>
      <x:c r="E32" s="10" t="n">
        <x:v>29</x:v>
      </x:c>
      <x:c r="F32" s="10" t="n">
        <x:v>10</x:v>
      </x:c>
      <x:c r="G32" s="10" t="n">
        <x:v>7</x:v>
      </x:c>
      <x:c r="H32" s="10" t="n">
        <x:v>535</x:v>
      </x:c>
      <x:c r="I32" s="10" t="n">
        <x:v>5.9</x:v>
      </x:c>
      <x:c r="J32" s="10" t="n">
        <x:v>2</x:v>
      </x:c>
      <x:c r="K32" s="10" t="n">
        <x:v>0</x:v>
      </x:c>
      <x:c r="L32" s="34" t="n">
        <x:v>2</x:v>
      </x:c>
    </x:row>
    <x:row r="33">
      <x:c r="A33" s="39" t="n">
        <x:v>20</x:v>
      </x:c>
      <x:c r="B33" s="33" t="str">
        <x:v>Jonathan Greening</x:v>
      </x:c>
      <x:c r="C33" s="10" t="str">
        <x:v>eng ENG</x:v>
      </x:c>
      <x:c r="D33" s="10" t="str">
        <x:v>MF</x:v>
      </x:c>
      <x:c r="E33" s="10" t="n">
        <x:v>31</x:v>
      </x:c>
      <x:c r="F33" s="10" t="n">
        <x:v>10</x:v>
      </x:c>
      <x:c r="G33" s="10" t="n">
        <x:v>6</x:v>
      </x:c>
      <x:c r="H33" s="10" t="n">
        <x:v>529</x:v>
      </x:c>
      <x:c r="I33" s="10" t="n">
        <x:v>5.9</x:v>
      </x:c>
      <x:c r="J33" s="10" t="n">
        <x:v>0</x:v>
      </x:c>
      <x:c r="K33" s="10" t="n">
        <x:v>2</x:v>
      </x:c>
      <x:c r="L33" s="34" t="n">
        <x:v>2</x:v>
      </x:c>
    </x:row>
    <x:row r="34">
      <x:c r="A34" s="39" t="n">
        <x:v>21</x:v>
      </x:c>
      <x:c r="B34" s="33" t="str">
        <x:v>Eiður Guðjohnsen</x:v>
      </x:c>
      <x:c r="C34" s="10" t="str">
        <x:v>is ISL</x:v>
      </x:c>
      <x:c r="D34" s="10" t="str">
        <x:v>FW,MF</x:v>
      </x:c>
      <x:c r="E34" s="10" t="n">
        <x:v>31</x:v>
      </x:c>
      <x:c r="F34" s="10" t="n">
        <x:v>10</x:v>
      </x:c>
      <x:c r="G34" s="10" t="n">
        <x:v>4</x:v>
      </x:c>
      <x:c r="H34" s="10" t="n">
        <x:v>412</x:v>
      </x:c>
      <x:c r="I34" s="10" t="n">
        <x:v>4.6</x:v>
      </x:c>
      <x:c r="J34" s="10" t="n">
        <x:v>0</x:v>
      </x:c>
      <x:c r="K34" s="10" t="n">
        <x:v>1</x:v>
      </x:c>
      <x:c r="L34" s="34" t="n">
        <x:v>1</x:v>
      </x:c>
    </x:row>
    <x:row r="35">
      <x:c r="A35" s="39" t="n">
        <x:v>22</x:v>
      </x:c>
      <x:c r="B35" s="33" t="str">
        <x:v>Philippe Senderos</x:v>
      </x:c>
      <x:c r="C35" s="10" t="str">
        <x:v>ch SUI</x:v>
      </x:c>
      <x:c r="D35" s="10" t="str">
        <x:v>DF</x:v>
      </x:c>
      <x:c r="E35" s="10" t="n">
        <x:v>25</x:v>
      </x:c>
      <x:c r="F35" s="10" t="n">
        <x:v>3</x:v>
      </x:c>
      <x:c r="G35" s="10" t="n">
        <x:v>3</x:v>
      </x:c>
      <x:c r="H35" s="10" t="n">
        <x:v>270</x:v>
      </x:c>
      <x:c r="I35" s="10" t="n">
        <x:v>3</x:v>
      </x:c>
      <x:c r="J35" s="10" t="n">
        <x:v>0</x:v>
      </x:c>
      <x:c r="K35" s="10" t="n">
        <x:v>0</x:v>
      </x:c>
      <x:c r="L35" s="34" t="n">
        <x:v>0</x:v>
      </x:c>
    </x:row>
    <x:row r="36">
      <x:c r="A36" s="39" t="n">
        <x:v>23</x:v>
      </x:c>
      <x:c r="B36" s="33" t="str">
        <x:v>Matthew Briggs</x:v>
      </x:c>
      <x:c r="C36" s="10" t="str">
        <x:v>gy GUY</x:v>
      </x:c>
      <x:c r="D36" s="10" t="str">
        <x:v>DF</x:v>
      </x:c>
      <x:c r="E36" s="10" t="n">
        <x:v>19</x:v>
      </x:c>
      <x:c r="F36" s="10" t="n">
        <x:v>3</x:v>
      </x:c>
      <x:c r="G36" s="10" t="n">
        <x:v>3</x:v>
      </x:c>
      <x:c r="H36" s="10" t="n">
        <x:v>195</x:v>
      </x:c>
      <x:c r="I36" s="10" t="n">
        <x:v>2.2</x:v>
      </x:c>
      <x:c r="J36" s="10" t="n">
        <x:v>0</x:v>
      </x:c>
      <x:c r="K36" s="10" t="n">
        <x:v>0</x:v>
      </x:c>
      <x:c r="L36" s="34" t="n">
        <x:v>0</x:v>
      </x:c>
    </x:row>
    <x:row r="37">
      <x:c r="A37" s="39" t="n">
        <x:v>24</x:v>
      </x:c>
      <x:c r="B37" s="33" t="str">
        <x:v>Gaël Kakuta</x:v>
      </x:c>
      <x:c r="C37" s="10" t="str">
        <x:v>cd COD</x:v>
      </x:c>
      <x:c r="D37" s="10" t="str">
        <x:v>FW,MF</x:v>
      </x:c>
      <x:c r="E37" s="10" t="n">
        <x:v>19</x:v>
      </x:c>
      <x:c r="F37" s="10" t="n">
        <x:v>7</x:v>
      </x:c>
      <x:c r="G37" s="10" t="n">
        <x:v>2</x:v>
      </x:c>
      <x:c r="H37" s="10" t="n">
        <x:v>237</x:v>
      </x:c>
      <x:c r="I37" s="10" t="n">
        <x:v>2.6</x:v>
      </x:c>
      <x:c r="J37" s="10" t="n">
        <x:v>1</x:v>
      </x:c>
      <x:c r="K37" s="10" t="n">
        <x:v>0</x:v>
      </x:c>
      <x:c r="L37" s="34" t="n">
        <x:v>1</x:v>
      </x:c>
    </x:row>
    <x:row r="38">
      <x:c r="A38" s="39" t="n">
        <x:v>25</x:v>
      </x:c>
      <x:c r="B38" s="33" t="str">
        <x:v>Eddie Johnson</x:v>
      </x:c>
      <x:c r="C38" s="10" t="str">
        <x:v>us USA</x:v>
      </x:c>
      <x:c r="D38" s="10" t="str">
        <x:v>FW</x:v>
      </x:c>
      <x:c r="E38" s="10" t="n">
        <x:v>26</x:v>
      </x:c>
      <x:c r="F38" s="10" t="n">
        <x:v>11</x:v>
      </x:c>
      <x:c r="G38" s="10" t="n">
        <x:v>1</x:v>
      </x:c>
      <x:c r="H38" s="10" t="n">
        <x:v>225</x:v>
      </x:c>
      <x:c r="I38" s="10" t="n">
        <x:v>2.5</x:v>
      </x:c>
      <x:c r="J38" s="10" t="n">
        <x:v>0</x:v>
      </x:c>
      <x:c r="K38" s="10" t="n">
        <x:v>0</x:v>
      </x:c>
      <x:c r="L38" s="34" t="n">
        <x:v>0</x:v>
      </x:c>
    </x:row>
    <x:row r="39">
      <x:c r="A39" s="39" t="n">
        <x:v>26</x:v>
      </x:c>
      <x:c r="B39" s="33" t="str">
        <x:v>Paul Konchesky</x:v>
      </x:c>
      <x:c r="C39" s="10" t="str">
        <x:v>eng ENG</x:v>
      </x:c>
      <x:c r="D39" s="10" t="str">
        <x:v>DF,FW</x:v>
      </x:c>
      <x:c r="E39" s="10" t="n">
        <x:v>29</x:v>
      </x:c>
      <x:c r="F39" s="10" t="n">
        <x:v>1</x:v>
      </x:c>
      <x:c r="G39" s="10" t="n">
        <x:v>1</x:v>
      </x:c>
      <x:c r="H39" s="10" t="n">
        <x:v>90</x:v>
      </x:c>
      <x:c r="I39" s="10" t="n">
        <x:v>1</x:v>
      </x:c>
      <x:c r="J39" s="10" t="n">
        <x:v>0</x:v>
      </x:c>
      <x:c r="K39" s="10" t="n">
        <x:v>0</x:v>
      </x:c>
      <x:c r="L39" s="34" t="n">
        <x:v>0</x:v>
      </x:c>
    </x:row>
    <x:row r="40">
      <x:c r="A40" s="39" t="n">
        <x:v>27</x:v>
      </x:c>
      <x:c r="B40" s="33" t="str">
        <x:v>Bjørn Helge Riise</x:v>
      </x:c>
      <x:c r="C40" s="10" t="str">
        <x:v>no NOR</x:v>
      </x:c>
      <x:c r="D40" s="10" t="str">
        <x:v>MF</x:v>
      </x:c>
      <x:c r="E40" s="10" t="n">
        <x:v>27</x:v>
      </x:c>
      <x:c r="F40" s="10" t="n">
        <x:v>3</x:v>
      </x:c>
      <x:c r="G40" s="10" t="n">
        <x:v>0</x:v>
      </x:c>
      <x:c r="H40" s="10" t="n">
        <x:v>28</x:v>
      </x:c>
      <x:c r="I40" s="10" t="n">
        <x:v>0.3</x:v>
      </x:c>
      <x:c r="J40" s="10" t="n">
        <x:v>0</x:v>
      </x:c>
      <x:c r="K40" s="10" t="n">
        <x:v>0</x:v>
      </x:c>
      <x:c r="L40" s="34" t="n">
        <x:v>0</x:v>
      </x:c>
    </x:row>
    <x:row r="41">
      <x:c r="A41" s="39" t="n">
        <x:v>28</x:v>
      </x:c>
      <x:c r="B41" s="33" t="str">
        <x:v>Rafik Halliche</x:v>
      </x:c>
      <x:c r="C41" s="10" t="str">
        <x:v>dz ALG</x:v>
      </x:c>
      <x:c r="D41" s="10" t="str">
        <x:v>DF</x:v>
      </x:c>
      <x:c r="E41" s="10" t="n">
        <x:v>23</x:v>
      </x:c>
      <x:c r="F41" s="10" t="n">
        <x:v>1</x:v>
      </x:c>
      <x:c r="G41" s="10" t="n">
        <x:v>0</x:v>
      </x:c>
      <x:c r="H41" s="10" t="n">
        <x:v>16</x:v>
      </x:c>
      <x:c r="I41" s="10" t="n">
        <x:v>0.2</x:v>
      </x:c>
      <x:c r="J41" s="10" t="n">
        <x:v>0</x:v>
      </x:c>
      <x:c r="K41" s="10" t="n">
        <x:v>0</x:v>
      </x:c>
      <x:c r="L41" s="34" t="n">
        <x:v>0</x:v>
      </x:c>
    </x:row>
    <x:row r="42">
      <x:c r="A42" s="39" t="n">
        <x:v>29</x:v>
      </x:c>
      <x:c r="B42" s="33" t="str">
        <x:v>Kagisho Dikgacoi</x:v>
      </x:c>
      <x:c r="C42" s="10" t="str">
        <x:v>za RSA</x:v>
      </x:c>
      <x:c r="D42" s="10" t="str">
        <x:v>MF</x:v>
      </x:c>
      <x:c r="E42" s="10" t="n">
        <x:v>25</x:v>
      </x:c>
      <x:c r="F42" s="10" t="n">
        <x:v>1</x:v>
      </x:c>
      <x:c r="G42" s="10" t="n">
        <x:v>0</x:v>
      </x:c>
      <x:c r="H42" s="10" t="n">
        <x:v>5</x:v>
      </x:c>
      <x:c r="I42" s="10" t="n">
        <x:v>0.1</x:v>
      </x:c>
      <x:c r="J42" s="10" t="n">
        <x:v>0</x:v>
      </x:c>
      <x:c r="K42" s="10" t="n">
        <x:v>0</x:v>
      </x:c>
      <x:c r="L42" s="34" t="n">
        <x:v>0</x:v>
      </x:c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09</x:v>
      </x:c>
      <x:c r="B1" s="4" t="str">
        <x:v>PAGE302 — CLUB DATA COLLECTION — SLOT 09</x:v>
      </x:c>
      <x:c r="C1" s="4" t="str">
        <x:v>PAGE302 — CLUB DATA COLLECTION — SLOT 09</x:v>
      </x:c>
      <x:c r="D1" s="4" t="str">
        <x:v>PAGE302 — CLUB DATA COLLECTION — SLOT 09</x:v>
      </x:c>
      <x:c r="E1" s="4" t="str">
        <x:v>PAGE302 — CLUB DATA COLLECTION — SLOT 09</x:v>
      </x:c>
      <x:c r="F1" s="4" t="str">
        <x:v>PAGE302 — CLUB DATA COLLECTION — SLOT 09</x:v>
      </x:c>
      <x:c r="G1" s="4" t="str">
        <x:v>PAGE302 — CLUB DATA COLLECTION — SLOT 09</x:v>
      </x:c>
      <x:c r="H1" s="4" t="str">
        <x:v>PAGE302 — CLUB DATA COLLECTION — SLOT 09</x:v>
      </x:c>
      <x:c r="I1" s="4" t="str">
        <x:v>PAGE302 — CLUB DATA COLLECTION — SLOT 09</x:v>
      </x:c>
      <x:c r="J1" s="4" t="str">
        <x:v>PAGE302 — CLUB DATA COLLECTION — SLOT 09</x:v>
      </x:c>
      <x:c r="K1" s="4" t="str">
        <x:v>PAGE302 — CLUB DATA COLLECTION — SLOT 09</x:v>
      </x:c>
      <x:c r="L1" s="4" t="str">
        <x:v>PAGE302 — CLUB DATA COLLECTION — SLOT 09</x:v>
      </x:c>
    </x:row>
    <x:row r="3">
      <x:c r="A3" s="12" t="str">
        <x:v>TEAM CODE:</x:v>
      </x:c>
      <x:c r="B3" s="23" t="str">
        <x:f>IF('Pack Planner'!$E$19="","",'Pack Planner'!$E$19)</x:f>
        <x:v>BOU1819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Planner'!$C$19="","",'Pack Planner'!$C$19)</x:f>
        <x:v>Bournemouth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Planner'!$D$19="","",'Pack Planner'!$D$19)</x:f>
        <x:v>2018-19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Planner'!$B$19</x:f>
        <x:v>Other current Premier League club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 t="str">
        <x:v>https://fbref.com/en/squads/4ba7cbea/2018-2019/Bournemouth-Stats</x:v>
      </x:c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 t="str">
        <x:v>Eddie Howe</x:v>
      </x:c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 t="n">
        <x:v>38</x:v>
      </x:c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 t="str">
        <x:v>Nathan Aké</x:v>
      </x:c>
      <x:c r="C14" s="31" t="str">
        <x:v>nl NED</x:v>
      </x:c>
      <x:c r="D14" s="31" t="str">
        <x:v>DF</x:v>
      </x:c>
      <x:c r="E14" s="31" t="n">
        <x:v>23</x:v>
      </x:c>
      <x:c r="F14" s="31" t="n">
        <x:v>38</x:v>
      </x:c>
      <x:c r="G14" s="31" t="n">
        <x:v>38</x:v>
      </x:c>
      <x:c r="H14" s="31" t="n">
        <x:v>3411</x:v>
      </x:c>
      <x:c r="I14" s="31" t="n">
        <x:v>37.9</x:v>
      </x:c>
      <x:c r="J14" s="31" t="n">
        <x:v>4</x:v>
      </x:c>
      <x:c r="K14" s="31" t="n">
        <x:v>0</x:v>
      </x:c>
      <x:c r="L14" s="32" t="n">
        <x:v>4</x:v>
      </x:c>
    </x:row>
    <x:row r="15">
      <x:c r="A15" s="39" t="n">
        <x:v>2</x:v>
      </x:c>
      <x:c r="B15" s="33" t="str">
        <x:v>Ryan Fraser</x:v>
      </x:c>
      <x:c r="C15" s="10" t="str">
        <x:v>sct SCO</x:v>
      </x:c>
      <x:c r="D15" s="10" t="str">
        <x:v>MF</x:v>
      </x:c>
      <x:c r="E15" s="10" t="n">
        <x:v>24</x:v>
      </x:c>
      <x:c r="F15" s="10" t="n">
        <x:v>38</x:v>
      </x:c>
      <x:c r="G15" s="10" t="n">
        <x:v>35</x:v>
      </x:c>
      <x:c r="H15" s="10" t="n">
        <x:v>3166</x:v>
      </x:c>
      <x:c r="I15" s="10" t="n">
        <x:v>35.2</x:v>
      </x:c>
      <x:c r="J15" s="10" t="n">
        <x:v>7</x:v>
      </x:c>
      <x:c r="K15" s="10" t="n">
        <x:v>14</x:v>
      </x:c>
      <x:c r="L15" s="34" t="n">
        <x:v>21</x:v>
      </x:c>
    </x:row>
    <x:row r="16">
      <x:c r="A16" s="39" t="n">
        <x:v>3</x:v>
      </x:c>
      <x:c r="B16" s="33" t="str">
        <x:v>Joshua King</x:v>
      </x:c>
      <x:c r="C16" s="10" t="str">
        <x:v>no NOR</x:v>
      </x:c>
      <x:c r="D16" s="10" t="str">
        <x:v>FW,MF</x:v>
      </x:c>
      <x:c r="E16" s="10" t="n">
        <x:v>26</x:v>
      </x:c>
      <x:c r="F16" s="10" t="n">
        <x:v>35</x:v>
      </x:c>
      <x:c r="G16" s="10" t="n">
        <x:v>34</x:v>
      </x:c>
      <x:c r="H16" s="10" t="n">
        <x:v>2961</x:v>
      </x:c>
      <x:c r="I16" s="10" t="n">
        <x:v>32.9</x:v>
      </x:c>
      <x:c r="J16" s="10" t="n">
        <x:v>12</x:v>
      </x:c>
      <x:c r="K16" s="10" t="n">
        <x:v>3</x:v>
      </x:c>
      <x:c r="L16" s="34" t="n">
        <x:v>15</x:v>
      </x:c>
    </x:row>
    <x:row r="17">
      <x:c r="A17" s="39" t="n">
        <x:v>4</x:v>
      </x:c>
      <x:c r="B17" s="33" t="str">
        <x:v>Steve Cook</x:v>
      </x:c>
      <x:c r="C17" s="10" t="str">
        <x:v>eng ENG</x:v>
      </x:c>
      <x:c r="D17" s="10" t="str">
        <x:v>DF</x:v>
      </x:c>
      <x:c r="E17" s="10" t="n">
        <x:v>27</x:v>
      </x:c>
      <x:c r="F17" s="10" t="n">
        <x:v>31</x:v>
      </x:c>
      <x:c r="G17" s="10" t="n">
        <x:v>31</x:v>
      </x:c>
      <x:c r="H17" s="10" t="n">
        <x:v>2786</x:v>
      </x:c>
      <x:c r="I17" s="10" t="n">
        <x:v>31</x:v>
      </x:c>
      <x:c r="J17" s="10" t="n">
        <x:v>1</x:v>
      </x:c>
      <x:c r="K17" s="10" t="n">
        <x:v>1</x:v>
      </x:c>
      <x:c r="L17" s="34" t="n">
        <x:v>2</x:v>
      </x:c>
    </x:row>
    <x:row r="18">
      <x:c r="A18" s="39" t="n">
        <x:v>5</x:v>
      </x:c>
      <x:c r="B18" s="33" t="str">
        <x:v>Callum Wilson</x:v>
      </x:c>
      <x:c r="C18" s="10" t="str">
        <x:v>eng ENG</x:v>
      </x:c>
      <x:c r="D18" s="10" t="str">
        <x:v>FW</x:v>
      </x:c>
      <x:c r="E18" s="10" t="n">
        <x:v>26</x:v>
      </x:c>
      <x:c r="F18" s="10" t="n">
        <x:v>30</x:v>
      </x:c>
      <x:c r="G18" s="10" t="n">
        <x:v>29</x:v>
      </x:c>
      <x:c r="H18" s="10" t="n">
        <x:v>2528</x:v>
      </x:c>
      <x:c r="I18" s="10" t="n">
        <x:v>28.1</x:v>
      </x:c>
      <x:c r="J18" s="10" t="n">
        <x:v>14</x:v>
      </x:c>
      <x:c r="K18" s="10" t="n">
        <x:v>9</x:v>
      </x:c>
      <x:c r="L18" s="34" t="n">
        <x:v>23</x:v>
      </x:c>
    </x:row>
    <x:row r="19">
      <x:c r="A19" s="39" t="n">
        <x:v>6</x:v>
      </x:c>
      <x:c r="B19" s="33" t="str">
        <x:v>Jefferson Lerma</x:v>
      </x:c>
      <x:c r="C19" s="10" t="str">
        <x:v>co COL</x:v>
      </x:c>
      <x:c r="D19" s="10" t="str">
        <x:v>MF</x:v>
      </x:c>
      <x:c r="E19" s="10" t="n">
        <x:v>23</x:v>
      </x:c>
      <x:c r="F19" s="10" t="n">
        <x:v>30</x:v>
      </x:c>
      <x:c r="G19" s="10" t="n">
        <x:v>29</x:v>
      </x:c>
      <x:c r="H19" s="10" t="n">
        <x:v>2506</x:v>
      </x:c>
      <x:c r="I19" s="10" t="n">
        <x:v>27.8</x:v>
      </x:c>
      <x:c r="J19" s="10" t="n">
        <x:v>2</x:v>
      </x:c>
      <x:c r="K19" s="10" t="n">
        <x:v>0</x:v>
      </x:c>
      <x:c r="L19" s="34" t="n">
        <x:v>2</x:v>
      </x:c>
    </x:row>
    <x:row r="20">
      <x:c r="A20" s="39" t="n">
        <x:v>7</x:v>
      </x:c>
      <x:c r="B20" s="33" t="str">
        <x:v>David Brooks</x:v>
      </x:c>
      <x:c r="C20" s="10" t="str">
        <x:v>wls WAL</x:v>
      </x:c>
      <x:c r="D20" s="10" t="str">
        <x:v>MF</x:v>
      </x:c>
      <x:c r="E20" s="10" t="n">
        <x:v>21</x:v>
      </x:c>
      <x:c r="F20" s="10" t="n">
        <x:v>30</x:v>
      </x:c>
      <x:c r="G20" s="10" t="n">
        <x:v>29</x:v>
      </x:c>
      <x:c r="H20" s="10" t="n">
        <x:v>2261</x:v>
      </x:c>
      <x:c r="I20" s="10" t="n">
        <x:v>25.1</x:v>
      </x:c>
      <x:c r="J20" s="10" t="n">
        <x:v>7</x:v>
      </x:c>
      <x:c r="K20" s="10" t="n">
        <x:v>5</x:v>
      </x:c>
      <x:c r="L20" s="34" t="n">
        <x:v>12</x:v>
      </x:c>
    </x:row>
    <x:row r="21">
      <x:c r="A21" s="39" t="n">
        <x:v>8</x:v>
      </x:c>
      <x:c r="B21" s="33" t="str">
        <x:v>Adam Smith</x:v>
      </x:c>
      <x:c r="C21" s="10" t="str">
        <x:v>eng ENG</x:v>
      </x:c>
      <x:c r="D21" s="10" t="str">
        <x:v>DF,MF</x:v>
      </x:c>
      <x:c r="E21" s="10" t="n">
        <x:v>27</x:v>
      </x:c>
      <x:c r="F21" s="10" t="n">
        <x:v>25</x:v>
      </x:c>
      <x:c r="G21" s="10" t="n">
        <x:v>25</x:v>
      </x:c>
      <x:c r="H21" s="10" t="n">
        <x:v>2066</x:v>
      </x:c>
      <x:c r="I21" s="10" t="n">
        <x:v>23</x:v>
      </x:c>
      <x:c r="J21" s="10" t="n">
        <x:v>1</x:v>
      </x:c>
      <x:c r="K21" s="10" t="n">
        <x:v>1</x:v>
      </x:c>
      <x:c r="L21" s="34" t="n">
        <x:v>2</x:v>
      </x:c>
    </x:row>
    <x:row r="22">
      <x:c r="A22" s="39" t="n">
        <x:v>9</x:v>
      </x:c>
      <x:c r="B22" s="33" t="str">
        <x:v>Asmir Begović</x:v>
      </x:c>
      <x:c r="C22" s="10" t="str">
        <x:v>ba BIH</x:v>
      </x:c>
      <x:c r="D22" s="10" t="str">
        <x:v>GK</x:v>
      </x:c>
      <x:c r="E22" s="10" t="n">
        <x:v>31</x:v>
      </x:c>
      <x:c r="F22" s="10" t="n">
        <x:v>24</x:v>
      </x:c>
      <x:c r="G22" s="10" t="n">
        <x:v>24</x:v>
      </x:c>
      <x:c r="H22" s="10" t="n">
        <x:v>2160</x:v>
      </x:c>
      <x:c r="I22" s="10" t="n">
        <x:v>24</x:v>
      </x:c>
      <x:c r="J22" s="10" t="n">
        <x:v>0</x:v>
      </x:c>
      <x:c r="K22" s="10" t="n">
        <x:v>0</x:v>
      </x:c>
      <x:c r="L22" s="34" t="n">
        <x:v>0</x:v>
      </x:c>
    </x:row>
    <x:row r="23">
      <x:c r="A23" s="39" t="n">
        <x:v>10</x:v>
      </x:c>
      <x:c r="B23" s="33" t="str">
        <x:v>Dan Gosling</x:v>
      </x:c>
      <x:c r="C23" s="10" t="str">
        <x:v>eng ENG</x:v>
      </x:c>
      <x:c r="D23" s="10" t="str">
        <x:v>MF</x:v>
      </x:c>
      <x:c r="E23" s="10" t="n">
        <x:v>28</x:v>
      </x:c>
      <x:c r="F23" s="10" t="n">
        <x:v>25</x:v>
      </x:c>
      <x:c r="G23" s="10" t="n">
        <x:v>19</x:v>
      </x:c>
      <x:c r="H23" s="10" t="n">
        <x:v>1739</x:v>
      </x:c>
      <x:c r="I23" s="10" t="n">
        <x:v>19.3</x:v>
      </x:c>
      <x:c r="J23" s="10" t="n">
        <x:v>2</x:v>
      </x:c>
      <x:c r="K23" s="10" t="n">
        <x:v>1</x:v>
      </x:c>
      <x:c r="L23" s="34" t="n">
        <x:v>3</x:v>
      </x:c>
    </x:row>
    <x:row r="24">
      <x:c r="A24" s="39" t="n">
        <x:v>11</x:v>
      </x:c>
      <x:c r="B24" s="33" t="str">
        <x:v>Charlie Daniels</x:v>
      </x:c>
      <x:c r="C24" s="10" t="str">
        <x:v>eng ENG</x:v>
      </x:c>
      <x:c r="D24" s="10" t="str">
        <x:v>DF,MF</x:v>
      </x:c>
      <x:c r="E24" s="10" t="n">
        <x:v>31</x:v>
      </x:c>
      <x:c r="F24" s="10" t="n">
        <x:v>21</x:v>
      </x:c>
      <x:c r="G24" s="10" t="n">
        <x:v>17</x:v>
      </x:c>
      <x:c r="H24" s="10" t="n">
        <x:v>1585</x:v>
      </x:c>
      <x:c r="I24" s="10" t="n">
        <x:v>17.6</x:v>
      </x:c>
      <x:c r="J24" s="10" t="n">
        <x:v>1</x:v>
      </x:c>
      <x:c r="K24" s="10" t="n">
        <x:v>0</x:v>
      </x:c>
      <x:c r="L24" s="34" t="n">
        <x:v>1</x:v>
      </x:c>
    </x:row>
    <x:row r="25">
      <x:c r="A25" s="39" t="n">
        <x:v>12</x:v>
      </x:c>
      <x:c r="B25" s="33" t="str">
        <x:v>Andrew Surman</x:v>
      </x:c>
      <x:c r="C25" s="10" t="str">
        <x:v>eng ENG</x:v>
      </x:c>
      <x:c r="D25" s="10" t="str">
        <x:v>MF</x:v>
      </x:c>
      <x:c r="E25" s="10" t="n">
        <x:v>31</x:v>
      </x:c>
      <x:c r="F25" s="10" t="n">
        <x:v>18</x:v>
      </x:c>
      <x:c r="G25" s="10" t="n">
        <x:v>16</x:v>
      </x:c>
      <x:c r="H25" s="10" t="n">
        <x:v>1439</x:v>
      </x:c>
      <x:c r="I25" s="10" t="n">
        <x:v>16</x:v>
      </x:c>
      <x:c r="J25" s="10" t="n">
        <x:v>0</x:v>
      </x:c>
      <x:c r="K25" s="10" t="n">
        <x:v>0</x:v>
      </x:c>
      <x:c r="L25" s="34" t="n">
        <x:v>0</x:v>
      </x:c>
    </x:row>
    <x:row r="26">
      <x:c r="A26" s="39" t="n">
        <x:v>13</x:v>
      </x:c>
      <x:c r="B26" s="33" t="str">
        <x:v>Simon Francis</x:v>
      </x:c>
      <x:c r="C26" s="10" t="str">
        <x:v>eng ENG</x:v>
      </x:c>
      <x:c r="D26" s="10" t="str">
        <x:v>DF</x:v>
      </x:c>
      <x:c r="E26" s="10" t="n">
        <x:v>33</x:v>
      </x:c>
      <x:c r="F26" s="10" t="n">
        <x:v>17</x:v>
      </x:c>
      <x:c r="G26" s="10" t="n">
        <x:v>13</x:v>
      </x:c>
      <x:c r="H26" s="10" t="n">
        <x:v>1229</x:v>
      </x:c>
      <x:c r="I26" s="10" t="n">
        <x:v>13.7</x:v>
      </x:c>
      <x:c r="J26" s="10" t="n">
        <x:v>0</x:v>
      </x:c>
      <x:c r="K26" s="10" t="n">
        <x:v>2</x:v>
      </x:c>
      <x:c r="L26" s="34" t="n">
        <x:v>2</x:v>
      </x:c>
    </x:row>
    <x:row r="27">
      <x:c r="A27" s="39" t="n">
        <x:v>14</x:v>
      </x:c>
      <x:c r="B27" s="33" t="str">
        <x:v>Nathaniel Clyne</x:v>
      </x:c>
      <x:c r="C27" s="10" t="str">
        <x:v>eng ENG</x:v>
      </x:c>
      <x:c r="D27" s="10" t="str">
        <x:v>DF</x:v>
      </x:c>
      <x:c r="E27" s="10" t="n">
        <x:v>27</x:v>
      </x:c>
      <x:c r="F27" s="10" t="n">
        <x:v>14</x:v>
      </x:c>
      <x:c r="G27" s="10" t="n">
        <x:v>13</x:v>
      </x:c>
      <x:c r="H27" s="10" t="n">
        <x:v>1143</x:v>
      </x:c>
      <x:c r="I27" s="10" t="n">
        <x:v>12.7</x:v>
      </x:c>
      <x:c r="J27" s="10" t="n">
        <x:v>0</x:v>
      </x:c>
      <x:c r="K27" s="10" t="n">
        <x:v>1</x:v>
      </x:c>
      <x:c r="L27" s="34" t="n">
        <x:v>1</x:v>
      </x:c>
    </x:row>
    <x:row r="28">
      <x:c r="A28" s="39" t="n">
        <x:v>15</x:v>
      </x:c>
      <x:c r="B28" s="33" t="str">
        <x:v>Artur Boruc</x:v>
      </x:c>
      <x:c r="C28" s="10" t="str">
        <x:v>pl POL</x:v>
      </x:c>
      <x:c r="D28" s="10" t="str">
        <x:v>GK</x:v>
      </x:c>
      <x:c r="E28" s="10" t="n">
        <x:v>38</x:v>
      </x:c>
      <x:c r="F28" s="10" t="n">
        <x:v>12</x:v>
      </x:c>
      <x:c r="G28" s="10" t="n">
        <x:v>12</x:v>
      </x:c>
      <x:c r="H28" s="10" t="n">
        <x:v>1080</x:v>
      </x:c>
      <x:c r="I28" s="10" t="n">
        <x:v>12</x:v>
      </x:c>
      <x:c r="J28" s="10" t="n">
        <x:v>0</x:v>
      </x:c>
      <x:c r="K28" s="10" t="n">
        <x:v>0</x:v>
      </x:c>
      <x:c r="L28" s="34" t="n">
        <x:v>0</x:v>
      </x:c>
    </x:row>
    <x:row r="29">
      <x:c r="A29" s="39" t="n">
        <x:v>16</x:v>
      </x:c>
      <x:c r="B29" s="33" t="str">
        <x:v>Junior Stanislas</x:v>
      </x:c>
      <x:c r="C29" s="10" t="str">
        <x:v>eng ENG</x:v>
      </x:c>
      <x:c r="D29" s="10" t="str">
        <x:v>MF,DF</x:v>
      </x:c>
      <x:c r="E29" s="10" t="n">
        <x:v>28</x:v>
      </x:c>
      <x:c r="F29" s="10" t="n">
        <x:v>23</x:v>
      </x:c>
      <x:c r="G29" s="10" t="n">
        <x:v>11</x:v>
      </x:c>
      <x:c r="H29" s="10" t="n">
        <x:v>1031</x:v>
      </x:c>
      <x:c r="I29" s="10" t="n">
        <x:v>11.5</x:v>
      </x:c>
      <x:c r="J29" s="10" t="n">
        <x:v>2</x:v>
      </x:c>
      <x:c r="K29" s="10" t="n">
        <x:v>3</x:v>
      </x:c>
      <x:c r="L29" s="34" t="n">
        <x:v>5</x:v>
      </x:c>
    </x:row>
    <x:row r="30">
      <x:c r="A30" s="39" t="n">
        <x:v>17</x:v>
      </x:c>
      <x:c r="B30" s="33" t="str">
        <x:v>Chris Mepham</x:v>
      </x:c>
      <x:c r="C30" s="10" t="str">
        <x:v>wls WAL</x:v>
      </x:c>
      <x:c r="D30" s="10" t="str">
        <x:v>DF</x:v>
      </x:c>
      <x:c r="E30" s="10" t="n">
        <x:v>20</x:v>
      </x:c>
      <x:c r="F30" s="10" t="n">
        <x:v>13</x:v>
      </x:c>
      <x:c r="G30" s="10" t="n">
        <x:v>10</x:v>
      </x:c>
      <x:c r="H30" s="10" t="n">
        <x:v>850</x:v>
      </x:c>
      <x:c r="I30" s="10" t="n">
        <x:v>9.4</x:v>
      </x:c>
      <x:c r="J30" s="10" t="n">
        <x:v>0</x:v>
      </x:c>
      <x:c r="K30" s="10" t="n">
        <x:v>1</x:v>
      </x:c>
      <x:c r="L30" s="34" t="n">
        <x:v>1</x:v>
      </x:c>
    </x:row>
    <x:row r="31">
      <x:c r="A31" s="39" t="n">
        <x:v>18</x:v>
      </x:c>
      <x:c r="B31" s="33" t="str">
        <x:v>Jordon Ibe</x:v>
      </x:c>
      <x:c r="C31" s="10" t="str">
        <x:v>eng ENG</x:v>
      </x:c>
      <x:c r="D31" s="10" t="str">
        <x:v>MF</x:v>
      </x:c>
      <x:c r="E31" s="10" t="n">
        <x:v>22</x:v>
      </x:c>
      <x:c r="F31" s="10" t="n">
        <x:v>19</x:v>
      </x:c>
      <x:c r="G31" s="10" t="n">
        <x:v>9</x:v>
      </x:c>
      <x:c r="H31" s="10" t="n">
        <x:v>797</x:v>
      </x:c>
      <x:c r="I31" s="10" t="n">
        <x:v>8.9</x:v>
      </x:c>
      <x:c r="J31" s="10" t="n">
        <x:v>1</x:v>
      </x:c>
      <x:c r="K31" s="10" t="n">
        <x:v>1</x:v>
      </x:c>
      <x:c r="L31" s="34" t="n">
        <x:v>2</x:v>
      </x:c>
    </x:row>
    <x:row r="32">
      <x:c r="A32" s="39" t="n">
        <x:v>19</x:v>
      </x:c>
      <x:c r="B32" s="33" t="str">
        <x:v>Lewis Cook</x:v>
      </x:c>
      <x:c r="C32" s="10" t="str">
        <x:v>eng ENG</x:v>
      </x:c>
      <x:c r="D32" s="10" t="str">
        <x:v>MF</x:v>
      </x:c>
      <x:c r="E32" s="10" t="n">
        <x:v>21</x:v>
      </x:c>
      <x:c r="F32" s="10" t="n">
        <x:v>13</x:v>
      </x:c>
      <x:c r="G32" s="10" t="n">
        <x:v>8</x:v>
      </x:c>
      <x:c r="H32" s="10" t="n">
        <x:v>723</x:v>
      </x:c>
      <x:c r="I32" s="10" t="n">
        <x:v>8</x:v>
      </x:c>
      <x:c r="J32" s="10" t="n">
        <x:v>0</x:v>
      </x:c>
      <x:c r="K32" s="10" t="n">
        <x:v>0</x:v>
      </x:c>
      <x:c r="L32" s="34" t="n">
        <x:v>0</x:v>
      </x:c>
    </x:row>
    <x:row r="33">
      <x:c r="A33" s="39" t="n">
        <x:v>20</x:v>
      </x:c>
      <x:c r="B33" s="33" t="str">
        <x:v>Diego Rico</x:v>
      </x:c>
      <x:c r="C33" s="10" t="str">
        <x:v>es ESP</x:v>
      </x:c>
      <x:c r="D33" s="10" t="str">
        <x:v>DF,MF</x:v>
      </x:c>
      <x:c r="E33" s="10" t="n">
        <x:v>25</x:v>
      </x:c>
      <x:c r="F33" s="10" t="n">
        <x:v>12</x:v>
      </x:c>
      <x:c r="G33" s="10" t="n">
        <x:v>5</x:v>
      </x:c>
      <x:c r="H33" s="10" t="n">
        <x:v>612</x:v>
      </x:c>
      <x:c r="I33" s="10" t="n">
        <x:v>6.8</x:v>
      </x:c>
      <x:c r="J33" s="10" t="n">
        <x:v>0</x:v>
      </x:c>
      <x:c r="K33" s="10" t="n">
        <x:v>0</x:v>
      </x:c>
      <x:c r="L33" s="34" t="n">
        <x:v>0</x:v>
      </x:c>
    </x:row>
    <x:row r="34">
      <x:c r="A34" s="39" t="n">
        <x:v>21</x:v>
      </x:c>
      <x:c r="B34" s="33" t="str">
        <x:v>Jack Simpson</x:v>
      </x:c>
      <x:c r="C34" s="10" t="str">
        <x:v>eng ENG</x:v>
      </x:c>
      <x:c r="D34" s="10" t="str">
        <x:v>DF</x:v>
      </x:c>
      <x:c r="E34" s="10" t="n">
        <x:v>21</x:v>
      </x:c>
      <x:c r="F34" s="10" t="n">
        <x:v>6</x:v>
      </x:c>
      <x:c r="G34" s="10" t="n">
        <x:v>4</x:v>
      </x:c>
      <x:c r="H34" s="10" t="n">
        <x:v>403</x:v>
      </x:c>
      <x:c r="I34" s="10" t="n">
        <x:v>4.5</x:v>
      </x:c>
      <x:c r="J34" s="10" t="n">
        <x:v>0</x:v>
      </x:c>
      <x:c r="K34" s="10" t="n">
        <x:v>0</x:v>
      </x:c>
      <x:c r="L34" s="34" t="n">
        <x:v>0</x:v>
      </x:c>
    </x:row>
    <x:row r="35">
      <x:c r="A35" s="39" t="n">
        <x:v>22</x:v>
      </x:c>
      <x:c r="B35" s="33" t="str">
        <x:v>Dominic Solanke</x:v>
      </x:c>
      <x:c r="C35" s="10" t="str">
        <x:v>eng ENG</x:v>
      </x:c>
      <x:c r="D35" s="10" t="str">
        <x:v>FW</x:v>
      </x:c>
      <x:c r="E35" s="10" t="n">
        <x:v>20</x:v>
      </x:c>
      <x:c r="F35" s="10" t="n">
        <x:v>10</x:v>
      </x:c>
      <x:c r="G35" s="10" t="n">
        <x:v>2</x:v>
      </x:c>
      <x:c r="H35" s="10" t="n">
        <x:v>347</x:v>
      </x:c>
      <x:c r="I35" s="10" t="n">
        <x:v>3.9</x:v>
      </x:c>
      <x:c r="J35" s="10" t="n">
        <x:v>0</x:v>
      </x:c>
      <x:c r="K35" s="10" t="n">
        <x:v>1</x:v>
      </x:c>
      <x:c r="L35" s="34" t="n">
        <x:v>1</x:v>
      </x:c>
    </x:row>
    <x:row r="36">
      <x:c r="A36" s="39" t="n">
        <x:v>23</x:v>
      </x:c>
      <x:c r="B36" s="33" t="str">
        <x:v>Mark Travers</x:v>
      </x:c>
      <x:c r="C36" s="10" t="str">
        <x:v>ie IRL</x:v>
      </x:c>
      <x:c r="D36" s="10" t="str">
        <x:v>GK</x:v>
      </x:c>
      <x:c r="E36" s="10" t="n">
        <x:v>19</x:v>
      </x:c>
      <x:c r="F36" s="10" t="n">
        <x:v>2</x:v>
      </x:c>
      <x:c r="G36" s="10" t="n">
        <x:v>2</x:v>
      </x:c>
      <x:c r="H36" s="10" t="n">
        <x:v>180</x:v>
      </x:c>
      <x:c r="I36" s="10" t="n">
        <x:v>2</x:v>
      </x:c>
      <x:c r="J36" s="10" t="n">
        <x:v>0</x:v>
      </x:c>
      <x:c r="K36" s="10" t="n">
        <x:v>0</x:v>
      </x:c>
      <x:c r="L36" s="34" t="n">
        <x:v>0</x:v>
      </x:c>
    </x:row>
    <x:row r="37">
      <x:c r="A37" s="39" t="n">
        <x:v>24</x:v>
      </x:c>
      <x:c r="B37" s="33" t="str">
        <x:v>Tyrone Mings</x:v>
      </x:c>
      <x:c r="C37" s="10" t="str">
        <x:v>eng ENG</x:v>
      </x:c>
      <x:c r="D37" s="10" t="str">
        <x:v>DF</x:v>
      </x:c>
      <x:c r="E37" s="10" t="n">
        <x:v>25</x:v>
      </x:c>
      <x:c r="F37" s="10" t="n">
        <x:v>5</x:v>
      </x:c>
      <x:c r="G37" s="10" t="n">
        <x:v>2</x:v>
      </x:c>
      <x:c r="H37" s="10" t="n">
        <x:v>143</x:v>
      </x:c>
      <x:c r="I37" s="10" t="n">
        <x:v>1.6</x:v>
      </x:c>
      <x:c r="J37" s="10" t="n">
        <x:v>0</x:v>
      </x:c>
      <x:c r="K37" s="10" t="n">
        <x:v>0</x:v>
      </x:c>
      <x:c r="L37" s="34" t="n">
        <x:v>0</x:v>
      </x:c>
    </x:row>
    <x:row r="38">
      <x:c r="A38" s="39" t="n">
        <x:v>25</x:v>
      </x:c>
      <x:c r="B38" s="33" t="str">
        <x:v>Lys Mousset</x:v>
      </x:c>
      <x:c r="C38" s="10" t="str">
        <x:v>fr FRA</x:v>
      </x:c>
      <x:c r="D38" s="10" t="str">
        <x:v>FW</x:v>
      </x:c>
      <x:c r="E38" s="10" t="n">
        <x:v>22</x:v>
      </x:c>
      <x:c r="F38" s="10" t="n">
        <x:v>24</x:v>
      </x:c>
      <x:c r="G38" s="10" t="n">
        <x:v>1</x:v>
      </x:c>
      <x:c r="H38" s="10" t="n">
        <x:v>368</x:v>
      </x:c>
      <x:c r="I38" s="10" t="n">
        <x:v>4.1</x:v>
      </x:c>
      <x:c r="J38" s="10" t="n">
        <x:v>1</x:v>
      </x:c>
      <x:c r="K38" s="10" t="n">
        <x:v>0</x:v>
      </x:c>
      <x:c r="L38" s="34" t="n">
        <x:v>1</x:v>
      </x:c>
    </x:row>
    <x:row r="39">
      <x:c r="A39" s="39" t="n">
        <x:v>26</x:v>
      </x:c>
      <x:c r="B39" s="33" t="str">
        <x:v>Emerson Hyndman</x:v>
      </x:c>
      <x:c r="C39" s="10" t="str">
        <x:v>us USA</x:v>
      </x:c>
      <x:c r="D39" s="10" t="str">
        <x:v>MF</x:v>
      </x:c>
      <x:c r="E39" s="10" t="n">
        <x:v>22</x:v>
      </x:c>
      <x:c r="F39" s="10" t="n">
        <x:v>1</x:v>
      </x:c>
      <x:c r="G39" s="10" t="n">
        <x:v>0</x:v>
      </x:c>
      <x:c r="H39" s="10" t="n">
        <x:v>38</x:v>
      </x:c>
      <x:c r="I39" s="10" t="n">
        <x:v>0.4</x:v>
      </x:c>
      <x:c r="J39" s="10" t="n">
        <x:v>0</x:v>
      </x:c>
      <x:c r="K39" s="10" t="n">
        <x:v>0</x:v>
      </x:c>
      <x:c r="L39" s="34" t="n">
        <x:v>0</x:v>
      </x:c>
    </x:row>
    <x:row r="40">
      <x:c r="A40" s="39" t="n">
        <x:v>27</x:v>
      </x:c>
      <x:c r="B40" s="33" t="str">
        <x:v>Jermain Defoe</x:v>
      </x:c>
      <x:c r="C40" s="10" t="str">
        <x:v>eng ENG</x:v>
      </x:c>
      <x:c r="D40" s="10" t="str">
        <x:v>FW</x:v>
      </x:c>
      <x:c r="E40" s="10" t="n">
        <x:v>35</x:v>
      </x:c>
      <x:c r="F40" s="10" t="n">
        <x:v>4</x:v>
      </x:c>
      <x:c r="G40" s="10" t="n">
        <x:v>0</x:v>
      </x:c>
      <x:c r="H40" s="10" t="n">
        <x:v>25</x:v>
      </x:c>
      <x:c r="I40" s="10" t="n">
        <x:v>0.3</x:v>
      </x:c>
      <x:c r="J40" s="10" t="n">
        <x:v>0</x:v>
      </x:c>
      <x:c r="K40" s="10" t="n">
        <x:v>0</x:v>
      </x:c>
      <x:c r="L40" s="34" t="n">
        <x:v>0</x:v>
      </x:c>
    </x:row>
    <x:row r="41">
      <x:c r="A41" s="39" t="n">
        <x:v>28</x:v>
      </x:c>
      <x:c r="B41" s="33" t="str">
        <x:v>Sam Surridge</x:v>
      </x:c>
      <x:c r="C41" s="10" t="str">
        <x:v>eng ENG</x:v>
      </x:c>
      <x:c r="D41" s="10" t="str">
        <x:v>FW</x:v>
      </x:c>
      <x:c r="E41" s="10" t="n">
        <x:v>20</x:v>
      </x:c>
      <x:c r="F41" s="10" t="n">
        <x:v>2</x:v>
      </x:c>
      <x:c r="G41" s="10" t="n">
        <x:v>0</x:v>
      </x:c>
      <x:c r="H41" s="10" t="n">
        <x:v>13</x:v>
      </x:c>
      <x:c r="I41" s="10" t="n">
        <x:v>0.1</x:v>
      </x:c>
      <x:c r="J41" s="10" t="n">
        <x:v>0</x:v>
      </x:c>
      <x:c r="K41" s="10" t="n">
        <x:v>0</x:v>
      </x:c>
      <x:c r="L41" s="34" t="n">
        <x:v>0</x:v>
      </x:c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10</x:v>
      </x:c>
      <x:c r="B1" s="4" t="str">
        <x:v>PAGE302 — CLUB DATA COLLECTION — SLOT 10</x:v>
      </x:c>
      <x:c r="C1" s="4" t="str">
        <x:v>PAGE302 — CLUB DATA COLLECTION — SLOT 10</x:v>
      </x:c>
      <x:c r="D1" s="4" t="str">
        <x:v>PAGE302 — CLUB DATA COLLECTION — SLOT 10</x:v>
      </x:c>
      <x:c r="E1" s="4" t="str">
        <x:v>PAGE302 — CLUB DATA COLLECTION — SLOT 10</x:v>
      </x:c>
      <x:c r="F1" s="4" t="str">
        <x:v>PAGE302 — CLUB DATA COLLECTION — SLOT 10</x:v>
      </x:c>
      <x:c r="G1" s="4" t="str">
        <x:v>PAGE302 — CLUB DATA COLLECTION — SLOT 10</x:v>
      </x:c>
      <x:c r="H1" s="4" t="str">
        <x:v>PAGE302 — CLUB DATA COLLECTION — SLOT 10</x:v>
      </x:c>
      <x:c r="I1" s="4" t="str">
        <x:v>PAGE302 — CLUB DATA COLLECTION — SLOT 10</x:v>
      </x:c>
      <x:c r="J1" s="4" t="str">
        <x:v>PAGE302 — CLUB DATA COLLECTION — SLOT 10</x:v>
      </x:c>
      <x:c r="K1" s="4" t="str">
        <x:v>PAGE302 — CLUB DATA COLLECTION — SLOT 10</x:v>
      </x:c>
      <x:c r="L1" s="4" t="str">
        <x:v>PAGE302 — CLUB DATA COLLECTION — SLOT 10</x:v>
      </x:c>
    </x:row>
    <x:row r="3">
      <x:c r="A3" s="12" t="str">
        <x:v>TEAM CODE:</x:v>
      </x:c>
      <x:c r="B3" s="23" t="str">
        <x:f>IF('Pack Planner'!$E$20="","",'Pack Planner'!$E$20)</x:f>
        <x:v>QPR9293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Planner'!$C$20="","",'Pack Planner'!$C$20)</x:f>
        <x:v>QPR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Planner'!$D$20="","",'Pack Planner'!$D$20)</x:f>
        <x:v>1992-93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Planner'!$B$20</x:f>
        <x:v>Not currently in the Premier League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 t="str">
        <x:v>https://fbref.com/en/squads/a757999c/1992-1993/Queens-Park-Rangers-Stats</x:v>
      </x:c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 t="str">
        <x:v>Gerry Francis</x:v>
      </x:c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 t="n">
        <x:v>42</x:v>
      </x:c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 t="str">
        <x:v>Clive Wilson</x:v>
      </x:c>
      <x:c r="C14" s="31" t="str">
        <x:v>eng ENG</x:v>
      </x:c>
      <x:c r="D14" s="31" t="str">
        <x:v>DF</x:v>
      </x:c>
      <x:c r="E14" s="31" t="n">
        <x:v>30</x:v>
      </x:c>
      <x:c r="F14" s="31" t="n">
        <x:v>41</x:v>
      </x:c>
      <x:c r="G14" s="31" t="n">
        <x:v>41</x:v>
      </x:c>
      <x:c r="H14" s="31" t="n">
        <x:v>3571</x:v>
      </x:c>
      <x:c r="I14" s="31" t="n">
        <x:v>39.7</x:v>
      </x:c>
      <x:c r="J14" s="31" t="n">
        <x:v>3</x:v>
      </x:c>
      <x:c r="K14" s="31" t="n">
        <x:v>5</x:v>
      </x:c>
      <x:c r="L14" s="32" t="n">
        <x:v>8</x:v>
      </x:c>
    </x:row>
    <x:row r="15">
      <x:c r="A15" s="39" t="n">
        <x:v>2</x:v>
      </x:c>
      <x:c r="B15" s="33" t="str">
        <x:v>David Bardsley</x:v>
      </x:c>
      <x:c r="C15" s="10" t="str">
        <x:v>eng ENG</x:v>
      </x:c>
      <x:c r="D15" s="10" t="str">
        <x:v>DF</x:v>
      </x:c>
      <x:c r="E15" s="10" t="n">
        <x:v>27</x:v>
      </x:c>
      <x:c r="F15" s="10" t="n">
        <x:v>40</x:v>
      </x:c>
      <x:c r="G15" s="10" t="n">
        <x:v>40</x:v>
      </x:c>
      <x:c r="H15" s="10" t="n">
        <x:v>3600</x:v>
      </x:c>
      <x:c r="I15" s="10" t="n">
        <x:v>40</x:v>
      </x:c>
      <x:c r="J15" s="10" t="n">
        <x:v>3</x:v>
      </x:c>
      <x:c r="K15" s="10" t="n">
        <x:v>7</x:v>
      </x:c>
      <x:c r="L15" s="34" t="n">
        <x:v>10</x:v>
      </x:c>
    </x:row>
    <x:row r="16">
      <x:c r="A16" s="39" t="n">
        <x:v>3</x:v>
      </x:c>
      <x:c r="B16" s="33" t="str">
        <x:v>Andy Impey</x:v>
      </x:c>
      <x:c r="C16" s="10" t="str">
        <x:v>eng ENG</x:v>
      </x:c>
      <x:c r="D16" s="10" t="str">
        <x:v>DF,MF</x:v>
      </x:c>
      <x:c r="E16" s="10" t="n">
        <x:v>20</x:v>
      </x:c>
      <x:c r="F16" s="10" t="n">
        <x:v>40</x:v>
      </x:c>
      <x:c r="G16" s="10" t="n">
        <x:v>39</x:v>
      </x:c>
      <x:c r="H16" s="10" t="n">
        <x:v>3547</x:v>
      </x:c>
      <x:c r="I16" s="10" t="n">
        <x:v>39.4</x:v>
      </x:c>
      <x:c r="J16" s="10" t="n">
        <x:v>2</x:v>
      </x:c>
      <x:c r="K16" s="10" t="n">
        <x:v>2</x:v>
      </x:c>
      <x:c r="L16" s="34" t="n">
        <x:v>4</x:v>
      </x:c>
    </x:row>
    <x:row r="17">
      <x:c r="A17" s="39" t="n">
        <x:v>4</x:v>
      </x:c>
      <x:c r="B17" s="33" t="str">
        <x:v>Alan McDonald</x:v>
      </x:c>
      <x:c r="C17" s="10" t="str">
        <x:v>nir NIR</x:v>
      </x:c>
      <x:c r="D17" s="10" t="str">
        <x:v>DF</x:v>
      </x:c>
      <x:c r="E17" s="10" t="n">
        <x:v>28</x:v>
      </x:c>
      <x:c r="F17" s="10" t="n">
        <x:v>39</x:v>
      </x:c>
      <x:c r="G17" s="10" t="n">
        <x:v>39</x:v>
      </x:c>
      <x:c r="H17" s="10" t="n">
        <x:v>3446</x:v>
      </x:c>
      <x:c r="I17" s="10" t="n">
        <x:v>38.3</x:v>
      </x:c>
      <x:c r="J17" s="10" t="n">
        <x:v>0</x:v>
      </x:c>
      <x:c r="K17" s="10" t="n">
        <x:v>4</x:v>
      </x:c>
      <x:c r="L17" s="34" t="n">
        <x:v>4</x:v>
      </x:c>
    </x:row>
    <x:row r="18">
      <x:c r="A18" s="39" t="n">
        <x:v>5</x:v>
      </x:c>
      <x:c r="B18" s="33" t="str">
        <x:v>Les Ferdinand</x:v>
      </x:c>
      <x:c r="C18" s="10" t="str">
        <x:v>eng ENG</x:v>
      </x:c>
      <x:c r="D18" s="10" t="str">
        <x:v>FW</x:v>
      </x:c>
      <x:c r="E18" s="10" t="n">
        <x:v>25</x:v>
      </x:c>
      <x:c r="F18" s="10" t="n">
        <x:v>37</x:v>
      </x:c>
      <x:c r="G18" s="10" t="n">
        <x:v>37</x:v>
      </x:c>
      <x:c r="H18" s="10" t="n">
        <x:v>3177</x:v>
      </x:c>
      <x:c r="I18" s="10" t="n">
        <x:v>35.3</x:v>
      </x:c>
      <x:c r="J18" s="10" t="n">
        <x:v>20</x:v>
      </x:c>
      <x:c r="K18" s="10" t="n">
        <x:v>5</x:v>
      </x:c>
      <x:c r="L18" s="34" t="n">
        <x:v>25</x:v>
      </x:c>
    </x:row>
    <x:row r="19">
      <x:c r="A19" s="39" t="n">
        <x:v>6</x:v>
      </x:c>
      <x:c r="B19" s="33" t="str">
        <x:v>Andy Sinton</x:v>
      </x:c>
      <x:c r="C19" s="10" t="str">
        <x:v>eng ENG</x:v>
      </x:c>
      <x:c r="D19" s="10" t="str">
        <x:v>MF</x:v>
      </x:c>
      <x:c r="E19" s="10" t="n">
        <x:v>26</x:v>
      </x:c>
      <x:c r="F19" s="10" t="n">
        <x:v>36</x:v>
      </x:c>
      <x:c r="G19" s="10" t="n">
        <x:v>36</x:v>
      </x:c>
      <x:c r="H19" s="10" t="n">
        <x:v>3083</x:v>
      </x:c>
      <x:c r="I19" s="10" t="n">
        <x:v>34.3</x:v>
      </x:c>
      <x:c r="J19" s="10" t="n">
        <x:v>7</x:v>
      </x:c>
      <x:c r="K19" s="10" t="n">
        <x:v>9</x:v>
      </x:c>
      <x:c r="L19" s="34" t="n">
        <x:v>16</x:v>
      </x:c>
    </x:row>
    <x:row r="20">
      <x:c r="A20" s="39" t="n">
        <x:v>7</x:v>
      </x:c>
      <x:c r="B20" s="33" t="str">
        <x:v>Darren Peacock</x:v>
      </x:c>
      <x:c r="C20" s="10" t="str">
        <x:v>eng ENG</x:v>
      </x:c>
      <x:c r="D20" s="10" t="str">
        <x:v>DF</x:v>
      </x:c>
      <x:c r="E20" s="10" t="n">
        <x:v>24</x:v>
      </x:c>
      <x:c r="F20" s="10" t="n">
        <x:v>38</x:v>
      </x:c>
      <x:c r="G20" s="10" t="n">
        <x:v>35</x:v>
      </x:c>
      <x:c r="H20" s="10" t="n">
        <x:v>3232</x:v>
      </x:c>
      <x:c r="I20" s="10" t="n">
        <x:v>35.9</x:v>
      </x:c>
      <x:c r="J20" s="10" t="n">
        <x:v>2</x:v>
      </x:c>
      <x:c r="K20" s="10" t="n">
        <x:v>0</x:v>
      </x:c>
      <x:c r="L20" s="34" t="n">
        <x:v>2</x:v>
      </x:c>
    </x:row>
    <x:row r="21">
      <x:c r="A21" s="39" t="n">
        <x:v>8</x:v>
      </x:c>
      <x:c r="B21" s="33" t="str">
        <x:v>Tony Roberts</x:v>
      </x:c>
      <x:c r="C21" s="10" t="str">
        <x:v>wls WAL</x:v>
      </x:c>
      <x:c r="D21" s="10" t="str">
        <x:v>GK</x:v>
      </x:c>
      <x:c r="E21" s="10" t="n">
        <x:v>22</x:v>
      </x:c>
      <x:c r="F21" s="10" t="n">
        <x:v>28</x:v>
      </x:c>
      <x:c r="G21" s="10" t="n">
        <x:v>28</x:v>
      </x:c>
      <x:c r="H21" s="10" t="n">
        <x:v>2447</x:v>
      </x:c>
      <x:c r="I21" s="10" t="n">
        <x:v>27.2</x:v>
      </x:c>
      <x:c r="J21" s="10" t="n">
        <x:v>0</x:v>
      </x:c>
      <x:c r="K21" s="10" t="n">
        <x:v>1</x:v>
      </x:c>
      <x:c r="L21" s="34" t="n">
        <x:v>1</x:v>
      </x:c>
    </x:row>
    <x:row r="22">
      <x:c r="A22" s="39" t="n">
        <x:v>9</x:v>
      </x:c>
      <x:c r="B22" s="33" t="str">
        <x:v>Ray Wilkins</x:v>
      </x:c>
      <x:c r="C22" s="10" t="str">
        <x:v>eng ENG</x:v>
      </x:c>
      <x:c r="D22" s="10" t="str">
        <x:v>MF</x:v>
      </x:c>
      <x:c r="E22" s="10" t="n">
        <x:v>35</x:v>
      </x:c>
      <x:c r="F22" s="10" t="n">
        <x:v>27</x:v>
      </x:c>
      <x:c r="G22" s="10" t="n">
        <x:v>27</x:v>
      </x:c>
      <x:c r="H22" s="10" t="n">
        <x:v>2430</x:v>
      </x:c>
      <x:c r="I22" s="10" t="n">
        <x:v>27</x:v>
      </x:c>
      <x:c r="J22" s="10" t="n">
        <x:v>2</x:v>
      </x:c>
      <x:c r="K22" s="10" t="n">
        <x:v>4</x:v>
      </x:c>
      <x:c r="L22" s="34" t="n">
        <x:v>6</x:v>
      </x:c>
    </x:row>
    <x:row r="23">
      <x:c r="A23" s="39" t="n">
        <x:v>10</x:v>
      </x:c>
      <x:c r="B23" s="33" t="str">
        <x:v>Ian Holloway</x:v>
      </x:c>
      <x:c r="C23" s="10" t="str">
        <x:v>eng ENG</x:v>
      </x:c>
      <x:c r="D23" s="10" t="str">
        <x:v>MF</x:v>
      </x:c>
      <x:c r="E23" s="10" t="n">
        <x:v>29</x:v>
      </x:c>
      <x:c r="F23" s="10" t="n">
        <x:v>24</x:v>
      </x:c>
      <x:c r="G23" s="10" t="n">
        <x:v>23</x:v>
      </x:c>
      <x:c r="H23" s="10" t="n">
        <x:v>2071</x:v>
      </x:c>
      <x:c r="I23" s="10" t="n">
        <x:v>23</x:v>
      </x:c>
      <x:c r="J23" s="10" t="n">
        <x:v>2</x:v>
      </x:c>
      <x:c r="K23" s="10" t="n">
        <x:v>1</x:v>
      </x:c>
      <x:c r="L23" s="34" t="n">
        <x:v>3</x:v>
      </x:c>
    </x:row>
    <x:row r="24">
      <x:c r="A24" s="39" t="n">
        <x:v>11</x:v>
      </x:c>
      <x:c r="B24" s="33" t="str">
        <x:v>Bradley Allen</x:v>
      </x:c>
      <x:c r="C24" s="10" t="str">
        <x:v>eng ENG</x:v>
      </x:c>
      <x:c r="D24" s="10" t="str">
        <x:v>FW</x:v>
      </x:c>
      <x:c r="E24" s="10" t="n">
        <x:v>20</x:v>
      </x:c>
      <x:c r="F24" s="10" t="n">
        <x:v>25</x:v>
      </x:c>
      <x:c r="G24" s="10" t="n">
        <x:v>21</x:v>
      </x:c>
      <x:c r="H24" s="10" t="n">
        <x:v>2044</x:v>
      </x:c>
      <x:c r="I24" s="10" t="n">
        <x:v>22.7</x:v>
      </x:c>
      <x:c r="J24" s="10" t="n">
        <x:v>10</x:v>
      </x:c>
      <x:c r="K24" s="10" t="n">
        <x:v>4</x:v>
      </x:c>
      <x:c r="L24" s="34" t="n">
        <x:v>14</x:v>
      </x:c>
    </x:row>
    <x:row r="25">
      <x:c r="A25" s="39" t="n">
        <x:v>12</x:v>
      </x:c>
      <x:c r="B25" s="33" t="str">
        <x:v>Simon Barker</x:v>
      </x:c>
      <x:c r="C25" s="10" t="str">
        <x:v>eng ENG</x:v>
      </x:c>
      <x:c r="D25" s="10" t="str">
        <x:v>MF</x:v>
      </x:c>
      <x:c r="E25" s="10" t="n">
        <x:v>27</x:v>
      </x:c>
      <x:c r="F25" s="10" t="n">
        <x:v>25</x:v>
      </x:c>
      <x:c r="G25" s="10" t="n">
        <x:v>21</x:v>
      </x:c>
      <x:c r="H25" s="10" t="n">
        <x:v>1884</x:v>
      </x:c>
      <x:c r="I25" s="10" t="n">
        <x:v>20.9</x:v>
      </x:c>
      <x:c r="J25" s="10" t="n">
        <x:v>1</x:v>
      </x:c>
      <x:c r="K25" s="10" t="n">
        <x:v>1</x:v>
      </x:c>
      <x:c r="L25" s="34" t="n">
        <x:v>2</x:v>
      </x:c>
    </x:row>
    <x:row r="26">
      <x:c r="A26" s="39" t="n">
        <x:v>13</x:v>
      </x:c>
      <x:c r="B26" s="33" t="str">
        <x:v>Jan Stejskal</x:v>
      </x:c>
      <x:c r="C26" s="10" t="str">
        <x:v>cz CZE</x:v>
      </x:c>
      <x:c r="D26" s="10" t="str">
        <x:v>GK</x:v>
      </x:c>
      <x:c r="E26" s="10" t="n">
        <x:v>30</x:v>
      </x:c>
      <x:c r="F26" s="10" t="n">
        <x:v>15</x:v>
      </x:c>
      <x:c r="G26" s="10" t="n">
        <x:v>14</x:v>
      </x:c>
      <x:c r="H26" s="10" t="n">
        <x:v>1288</x:v>
      </x:c>
      <x:c r="I26" s="10" t="n">
        <x:v>14.3</x:v>
      </x:c>
      <x:c r="J26" s="10" t="n">
        <x:v>0</x:v>
      </x:c>
      <x:c r="K26" s="10" t="n">
        <x:v>0</x:v>
      </x:c>
      <x:c r="L26" s="34" t="n">
        <x:v>0</x:v>
      </x:c>
    </x:row>
    <x:row r="27">
      <x:c r="A27" s="39" t="n">
        <x:v>14</x:v>
      </x:c>
      <x:c r="B27" s="33" t="str">
        <x:v>Rufus Brevett</x:v>
      </x:c>
      <x:c r="C27" s="10" t="str">
        <x:v>eng ENG</x:v>
      </x:c>
      <x:c r="D27" s="10" t="str">
        <x:v>DF</x:v>
      </x:c>
      <x:c r="E27" s="10" t="n">
        <x:v>22</x:v>
      </x:c>
      <x:c r="F27" s="10" t="n">
        <x:v>15</x:v>
      </x:c>
      <x:c r="G27" s="10" t="n">
        <x:v>14</x:v>
      </x:c>
      <x:c r="H27" s="10" t="n">
        <x:v>1263</x:v>
      </x:c>
      <x:c r="I27" s="10" t="n">
        <x:v>14</x:v>
      </x:c>
      <x:c r="J27" s="10" t="n">
        <x:v>0</x:v>
      </x:c>
      <x:c r="K27" s="10" t="n">
        <x:v>0</x:v>
      </x:c>
      <x:c r="L27" s="34" t="n">
        <x:v>0</x:v>
      </x:c>
    </x:row>
    <x:row r="28">
      <x:c r="A28" s="39" t="n">
        <x:v>15</x:v>
      </x:c>
      <x:c r="B28" s="33" t="str">
        <x:v>Dennis Bailey</x:v>
      </x:c>
      <x:c r="C28" s="10" t="str">
        <x:v>eng ENG</x:v>
      </x:c>
      <x:c r="D28" s="10" t="str">
        <x:v>FW</x:v>
      </x:c>
      <x:c r="E28" s="10" t="n">
        <x:v>26</x:v>
      </x:c>
      <x:c r="F28" s="10" t="n">
        <x:v>15</x:v>
      </x:c>
      <x:c r="G28" s="10" t="n">
        <x:v>13</x:v>
      </x:c>
      <x:c r="H28" s="10" t="n">
        <x:v>1145</x:v>
      </x:c>
      <x:c r="I28" s="10" t="n">
        <x:v>12.7</x:v>
      </x:c>
      <x:c r="J28" s="10" t="n">
        <x:v>1</x:v>
      </x:c>
      <x:c r="K28" s="10" t="n">
        <x:v>1</x:v>
      </x:c>
      <x:c r="L28" s="34" t="n">
        <x:v>2</x:v>
      </x:c>
    </x:row>
    <x:row r="29">
      <x:c r="A29" s="39" t="n">
        <x:v>16</x:v>
      </x:c>
      <x:c r="B29" s="33" t="str">
        <x:v>Gary Penrice</x:v>
      </x:c>
      <x:c r="C29" s="10" t="str">
        <x:v>eng ENG</x:v>
      </x:c>
      <x:c r="D29" s="10" t="str">
        <x:v>FW,MF</x:v>
      </x:c>
      <x:c r="E29" s="10" t="n">
        <x:v>28</x:v>
      </x:c>
      <x:c r="F29" s="10" t="n">
        <x:v>15</x:v>
      </x:c>
      <x:c r="G29" s="10" t="n">
        <x:v>10</x:v>
      </x:c>
      <x:c r="H29" s="10" t="n">
        <x:v>1014</x:v>
      </x:c>
      <x:c r="I29" s="10" t="n">
        <x:v>11.3</x:v>
      </x:c>
      <x:c r="J29" s="10" t="n">
        <x:v>6</x:v>
      </x:c>
      <x:c r="K29" s="10" t="n">
        <x:v>0</x:v>
      </x:c>
      <x:c r="L29" s="34" t="n">
        <x:v>6</x:v>
      </x:c>
    </x:row>
    <x:row r="30">
      <x:c r="A30" s="39" t="n">
        <x:v>17</x:v>
      </x:c>
      <x:c r="B30" s="33" t="str">
        <x:v>Danny Maddix</x:v>
      </x:c>
      <x:c r="C30" s="10" t="str">
        <x:v>jm JAM</x:v>
      </x:c>
      <x:c r="D30" s="10" t="str">
        <x:v>DF</x:v>
      </x:c>
      <x:c r="E30" s="10" t="n">
        <x:v>24</x:v>
      </x:c>
      <x:c r="F30" s="10" t="n">
        <x:v>14</x:v>
      </x:c>
      <x:c r="G30" s="10" t="n">
        <x:v>9</x:v>
      </x:c>
      <x:c r="H30" s="10" t="n">
        <x:v>1012</x:v>
      </x:c>
      <x:c r="I30" s="10" t="n">
        <x:v>11.2</x:v>
      </x:c>
      <x:c r="J30" s="10" t="n">
        <x:v>0</x:v>
      </x:c>
      <x:c r="K30" s="10" t="n">
        <x:v>1</x:v>
      </x:c>
      <x:c r="L30" s="34" t="n">
        <x:v>1</x:v>
      </x:c>
    </x:row>
    <x:row r="31">
      <x:c r="A31" s="39" t="n">
        <x:v>18</x:v>
      </x:c>
      <x:c r="B31" s="33" t="str">
        <x:v>Maurice Doyle</x:v>
      </x:c>
      <x:c r="C31" s="10" t="str">
        <x:v>eng ENG</x:v>
      </x:c>
      <x:c r="D31" s="10" t="str">
        <x:v>MF</x:v>
      </x:c>
      <x:c r="E31" s="10" t="n">
        <x:v>22</x:v>
      </x:c>
      <x:c r="F31" s="10" t="n">
        <x:v>5</x:v>
      </x:c>
      <x:c r="G31" s="10" t="n">
        <x:v>5</x:v>
      </x:c>
      <x:c r="H31" s="10" t="n">
        <x:v>450</x:v>
      </x:c>
      <x:c r="I31" s="10" t="n">
        <x:v>5</x:v>
      </x:c>
      <x:c r="J31" s="10" t="n">
        <x:v>0</x:v>
      </x:c>
      <x:c r="K31" s="10" t="n">
        <x:v>0</x:v>
      </x:c>
      <x:c r="L31" s="34" t="n">
        <x:v>0</x:v>
      </x:c>
    </x:row>
    <x:row r="32">
      <x:c r="A32" s="39" t="n">
        <x:v>19</x:v>
      </x:c>
      <x:c r="B32" s="33" t="str">
        <x:v>Devon White</x:v>
      </x:c>
      <x:c r="C32" s="10" t="str">
        <x:v>eng ENG</x:v>
      </x:c>
      <x:c r="D32" s="10" t="str">
        <x:v>FW</x:v>
      </x:c>
      <x:c r="E32" s="10" t="n">
        <x:v>28</x:v>
      </x:c>
      <x:c r="F32" s="10" t="n">
        <x:v>7</x:v>
      </x:c>
      <x:c r="G32" s="10" t="n">
        <x:v>3</x:v>
      </x:c>
      <x:c r="H32" s="10" t="n">
        <x:v>312</x:v>
      </x:c>
      <x:c r="I32" s="10" t="n">
        <x:v>3.5</x:v>
      </x:c>
      <x:c r="J32" s="10" t="n">
        <x:v>2</x:v>
      </x:c>
      <x:c r="K32" s="10" t="n">
        <x:v>0</x:v>
      </x:c>
      <x:c r="L32" s="34" t="n">
        <x:v>2</x:v>
      </x:c>
    </x:row>
    <x:row r="33">
      <x:c r="A33" s="39" t="n">
        <x:v>20</x:v>
      </x:c>
      <x:c r="B33" s="33" t="str">
        <x:v>Michael Meaker</x:v>
      </x:c>
      <x:c r="C33" s="10" t="str">
        <x:v>wls WAL</x:v>
      </x:c>
      <x:c r="D33" s="10" t="str">
        <x:v>MF</x:v>
      </x:c>
      <x:c r="E33" s="10" t="n">
        <x:v>20</x:v>
      </x:c>
      <x:c r="F33" s="10" t="n">
        <x:v>3</x:v>
      </x:c>
      <x:c r="G33" s="10" t="n">
        <x:v>3</x:v>
      </x:c>
      <x:c r="H33" s="10" t="n">
        <x:v>270</x:v>
      </x:c>
      <x:c r="I33" s="10" t="n">
        <x:v>3</x:v>
      </x:c>
      <x:c r="J33" s="10" t="n">
        <x:v>0</x:v>
      </x:c>
      <x:c r="K33" s="10" t="n">
        <x:v>1</x:v>
      </x:c>
      <x:c r="L33" s="34" t="n">
        <x:v>1</x:v>
      </x:c>
    </x:row>
    <x:row r="34">
      <x:c r="A34" s="39" t="n">
        <x:v>21</x:v>
      </x:c>
      <x:c r="B34" s="33" t="str">
        <x:v>Karl Ready</x:v>
      </x:c>
      <x:c r="C34" s="10" t="str">
        <x:v>wls WAL</x:v>
      </x:c>
      <x:c r="D34" s="10" t="str">
        <x:v>DF</x:v>
      </x:c>
      <x:c r="E34" s="10" t="n">
        <x:v>19</x:v>
      </x:c>
      <x:c r="F34" s="10" t="n">
        <x:v>3</x:v>
      </x:c>
      <x:c r="G34" s="10" t="n">
        <x:v>2</x:v>
      </x:c>
      <x:c r="H34" s="10" t="n">
        <x:v>185</x:v>
      </x:c>
      <x:c r="I34" s="10" t="n">
        <x:v>2.1</x:v>
      </x:c>
      <x:c r="J34" s="10" t="n">
        <x:v>0</x:v>
      </x:c>
      <x:c r="K34" s="10" t="n">
        <x:v>0</x:v>
      </x:c>
      <x:c r="L34" s="34" t="n">
        <x:v>0</x:v>
      </x:c>
    </x:row>
    <x:row r="35">
      <x:c r="A35" s="39" t="n">
        <x:v>22</x:v>
      </x:c>
      <x:c r="B35" s="33" t="str">
        <x:v>Justin Channing</x:v>
      </x:c>
      <x:c r="C35" s="10"/>
      <x:c r="D35" s="10" t="str">
        <x:v>DF,MF</x:v>
      </x:c>
      <x:c r="E35" s="10" t="n">
        <x:v>23</x:v>
      </x:c>
      <x:c r="F35" s="10" t="n">
        <x:v>2</x:v>
      </x:c>
      <x:c r="G35" s="10" t="n">
        <x:v>2</x:v>
      </x:c>
      <x:c r="H35" s="10" t="n">
        <x:v>178</x:v>
      </x:c>
      <x:c r="I35" s="10" t="n">
        <x:v>2</x:v>
      </x:c>
      <x:c r="J35" s="10" t="n">
        <x:v>1</x:v>
      </x:c>
      <x:c r="K35" s="10" t="n">
        <x:v>0</x:v>
      </x:c>
      <x:c r="L35" s="34" t="n">
        <x:v>1</x:v>
      </x:c>
    </x:row>
    <x:row r="36">
      <x:c r="A36" s="39" t="n">
        <x:v>23</x:v>
      </x:c>
      <x:c r="B36" s="33" t="str">
        <x:v>Garry Thompson</x:v>
      </x:c>
      <x:c r="C36" s="10" t="str">
        <x:v>eng ENG</x:v>
      </x:c>
      <x:c r="D36" s="10" t="str">
        <x:v>FW</x:v>
      </x:c>
      <x:c r="E36" s="10" t="n">
        <x:v>32</x:v>
      </x:c>
      <x:c r="F36" s="10" t="n">
        <x:v>4</x:v>
      </x:c>
      <x:c r="G36" s="10" t="n">
        <x:v>0</x:v>
      </x:c>
      <x:c r="H36" s="10" t="n">
        <x:v>87</x:v>
      </x:c>
      <x:c r="I36" s="10" t="n">
        <x:v>1</x:v>
      </x:c>
      <x:c r="J36" s="10" t="n">
        <x:v>0</x:v>
      </x:c>
      <x:c r="K36" s="10" t="n">
        <x:v>0</x:v>
      </x:c>
      <x:c r="L36" s="34" t="n">
        <x:v>0</x:v>
      </x:c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11</x:v>
      </x:c>
      <x:c r="B1" s="4" t="str">
        <x:v>PAGE302 — CLUB DATA COLLECTION — SLOT 11</x:v>
      </x:c>
      <x:c r="C1" s="4" t="str">
        <x:v>PAGE302 — CLUB DATA COLLECTION — SLOT 11</x:v>
      </x:c>
      <x:c r="D1" s="4" t="str">
        <x:v>PAGE302 — CLUB DATA COLLECTION — SLOT 11</x:v>
      </x:c>
      <x:c r="E1" s="4" t="str">
        <x:v>PAGE302 — CLUB DATA COLLECTION — SLOT 11</x:v>
      </x:c>
      <x:c r="F1" s="4" t="str">
        <x:v>PAGE302 — CLUB DATA COLLECTION — SLOT 11</x:v>
      </x:c>
      <x:c r="G1" s="4" t="str">
        <x:v>PAGE302 — CLUB DATA COLLECTION — SLOT 11</x:v>
      </x:c>
      <x:c r="H1" s="4" t="str">
        <x:v>PAGE302 — CLUB DATA COLLECTION — SLOT 11</x:v>
      </x:c>
      <x:c r="I1" s="4" t="str">
        <x:v>PAGE302 — CLUB DATA COLLECTION — SLOT 11</x:v>
      </x:c>
      <x:c r="J1" s="4" t="str">
        <x:v>PAGE302 — CLUB DATA COLLECTION — SLOT 11</x:v>
      </x:c>
      <x:c r="K1" s="4" t="str">
        <x:v>PAGE302 — CLUB DATA COLLECTION — SLOT 11</x:v>
      </x:c>
      <x:c r="L1" s="4" t="str">
        <x:v>PAGE302 — CLUB DATA COLLECTION — SLOT 11</x:v>
      </x:c>
    </x:row>
    <x:row r="3">
      <x:c r="A3" s="12" t="str">
        <x:v>TEAM CODE:</x:v>
      </x:c>
      <x:c r="B3" s="23" t="str">
        <x:f>IF('Pack Planner'!$E$21="","",'Pack Planner'!$E$21)</x:f>
        <x:v>SWA1112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Planner'!$C$21="","",'Pack Planner'!$C$21)</x:f>
        <x:v>Swansea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Planner'!$D$21="","",'Pack Planner'!$D$21)</x:f>
        <x:v>2011-12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Planner'!$B$21</x:f>
        <x:v>Not currently in the Premier League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 t="str">
        <x:v>https://fbref.com/en/squads/fb10988f/2011-2012/Swansea-City-Stats</x:v>
      </x:c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 t="str">
        <x:v>Brendan Rodgers</x:v>
      </x:c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 t="n">
        <x:v>38</x:v>
      </x:c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 t="str">
        <x:v>Michel Vorm</x:v>
      </x:c>
      <x:c r="C14" s="31" t="str">
        <x:v>nl NED</x:v>
      </x:c>
      <x:c r="D14" s="31" t="str">
        <x:v>GK</x:v>
      </x:c>
      <x:c r="E14" s="31" t="n">
        <x:v>27</x:v>
      </x:c>
      <x:c r="F14" s="31" t="n">
        <x:v>37</x:v>
      </x:c>
      <x:c r="G14" s="31" t="n">
        <x:v>37</x:v>
      </x:c>
      <x:c r="H14" s="31" t="n">
        <x:v>3330</x:v>
      </x:c>
      <x:c r="I14" s="31" t="n">
        <x:v>37</x:v>
      </x:c>
      <x:c r="J14" s="31" t="n">
        <x:v>0</x:v>
      </x:c>
      <x:c r="K14" s="31" t="n">
        <x:v>0</x:v>
      </x:c>
      <x:c r="L14" s="32" t="n">
        <x:v>0</x:v>
      </x:c>
    </x:row>
    <x:row r="15">
      <x:c r="A15" s="39" t="n">
        <x:v>2</x:v>
      </x:c>
      <x:c r="B15" s="33" t="str">
        <x:v>Ashley Williams</x:v>
      </x:c>
      <x:c r="C15" s="10" t="str">
        <x:v>wls WAL</x:v>
      </x:c>
      <x:c r="D15" s="10" t="str">
        <x:v>DF</x:v>
      </x:c>
      <x:c r="E15" s="10" t="n">
        <x:v>26</x:v>
      </x:c>
      <x:c r="F15" s="10" t="n">
        <x:v>37</x:v>
      </x:c>
      <x:c r="G15" s="10" t="n">
        <x:v>37</x:v>
      </x:c>
      <x:c r="H15" s="10" t="n">
        <x:v>3330</x:v>
      </x:c>
      <x:c r="I15" s="10" t="n">
        <x:v>37</x:v>
      </x:c>
      <x:c r="J15" s="10" t="n">
        <x:v>1</x:v>
      </x:c>
      <x:c r="K15" s="10" t="n">
        <x:v>1</x:v>
      </x:c>
      <x:c r="L15" s="34" t="n">
        <x:v>2</x:v>
      </x:c>
    </x:row>
    <x:row r="16">
      <x:c r="A16" s="39" t="n">
        <x:v>3</x:v>
      </x:c>
      <x:c r="B16" s="33" t="str">
        <x:v>Scott Sinclair</x:v>
      </x:c>
      <x:c r="C16" s="10" t="str">
        <x:v>eng ENG</x:v>
      </x:c>
      <x:c r="D16" s="10" t="str">
        <x:v>FW,MF</x:v>
      </x:c>
      <x:c r="E16" s="10" t="n">
        <x:v>22</x:v>
      </x:c>
      <x:c r="F16" s="10" t="n">
        <x:v>38</x:v>
      </x:c>
      <x:c r="G16" s="10" t="n">
        <x:v>35</x:v>
      </x:c>
      <x:c r="H16" s="10" t="n">
        <x:v>3120</x:v>
      </x:c>
      <x:c r="I16" s="10" t="n">
        <x:v>34.7</x:v>
      </x:c>
      <x:c r="J16" s="10" t="n">
        <x:v>8</x:v>
      </x:c>
      <x:c r="K16" s="10" t="n">
        <x:v>4</x:v>
      </x:c>
      <x:c r="L16" s="34" t="n">
        <x:v>12</x:v>
      </x:c>
    </x:row>
    <x:row r="17">
      <x:c r="A17" s="39" t="n">
        <x:v>4</x:v>
      </x:c>
      <x:c r="B17" s="33" t="str">
        <x:v>Neil Taylor</x:v>
      </x:c>
      <x:c r="C17" s="10" t="str">
        <x:v>wls WAL</x:v>
      </x:c>
      <x:c r="D17" s="10" t="str">
        <x:v>DF,MF</x:v>
      </x:c>
      <x:c r="E17" s="10" t="n">
        <x:v>22</x:v>
      </x:c>
      <x:c r="F17" s="10" t="n">
        <x:v>36</x:v>
      </x:c>
      <x:c r="G17" s="10" t="n">
        <x:v>35</x:v>
      </x:c>
      <x:c r="H17" s="10" t="n">
        <x:v>3080</x:v>
      </x:c>
      <x:c r="I17" s="10" t="n">
        <x:v>34.2</x:v>
      </x:c>
      <x:c r="J17" s="10" t="n">
        <x:v>0</x:v>
      </x:c>
      <x:c r="K17" s="10" t="n">
        <x:v>1</x:v>
      </x:c>
      <x:c r="L17" s="34" t="n">
        <x:v>1</x:v>
      </x:c>
    </x:row>
    <x:row r="18">
      <x:c r="A18" s="39" t="n">
        <x:v>5</x:v>
      </x:c>
      <x:c r="B18" s="33" t="str">
        <x:v>Leon Britton</x:v>
      </x:c>
      <x:c r="C18" s="10" t="str">
        <x:v>eng ENG</x:v>
      </x:c>
      <x:c r="D18" s="10" t="str">
        <x:v>MF</x:v>
      </x:c>
      <x:c r="E18" s="10" t="n">
        <x:v>28</x:v>
      </x:c>
      <x:c r="F18" s="10" t="n">
        <x:v>36</x:v>
      </x:c>
      <x:c r="G18" s="10" t="n">
        <x:v>35</x:v>
      </x:c>
      <x:c r="H18" s="10" t="n">
        <x:v>3010</x:v>
      </x:c>
      <x:c r="I18" s="10" t="n">
        <x:v>33.4</x:v>
      </x:c>
      <x:c r="J18" s="10" t="n">
        <x:v>0</x:v>
      </x:c>
      <x:c r="K18" s="10" t="n">
        <x:v>0</x:v>
      </x:c>
      <x:c r="L18" s="34" t="n">
        <x:v>0</x:v>
      </x:c>
    </x:row>
    <x:row r="19">
      <x:c r="A19" s="39" t="n">
        <x:v>6</x:v>
      </x:c>
      <x:c r="B19" s="33" t="str">
        <x:v>Àngel Rangel</x:v>
      </x:c>
      <x:c r="C19" s="10" t="str">
        <x:v>es ESP</x:v>
      </x:c>
      <x:c r="D19" s="10" t="str">
        <x:v>DF</x:v>
      </x:c>
      <x:c r="E19" s="10" t="n">
        <x:v>28</x:v>
      </x:c>
      <x:c r="F19" s="10" t="n">
        <x:v>34</x:v>
      </x:c>
      <x:c r="G19" s="10" t="n">
        <x:v>32</x:v>
      </x:c>
      <x:c r="H19" s="10" t="n">
        <x:v>2870</x:v>
      </x:c>
      <x:c r="I19" s="10" t="n">
        <x:v>31.9</x:v>
      </x:c>
      <x:c r="J19" s="10" t="n">
        <x:v>0</x:v>
      </x:c>
      <x:c r="K19" s="10" t="n">
        <x:v>2</x:v>
      </x:c>
      <x:c r="L19" s="34" t="n">
        <x:v>2</x:v>
      </x:c>
    </x:row>
    <x:row r="20">
      <x:c r="A20" s="39" t="n">
        <x:v>7</x:v>
      </x:c>
      <x:c r="B20" s="33" t="str">
        <x:v>Danny Graham</x:v>
      </x:c>
      <x:c r="C20" s="10" t="str">
        <x:v>eng ENG</x:v>
      </x:c>
      <x:c r="D20" s="10" t="str">
        <x:v>FW</x:v>
      </x:c>
      <x:c r="E20" s="10" t="n">
        <x:v>25</x:v>
      </x:c>
      <x:c r="F20" s="10" t="n">
        <x:v>36</x:v>
      </x:c>
      <x:c r="G20" s="10" t="n">
        <x:v>32</x:v>
      </x:c>
      <x:c r="H20" s="10" t="n">
        <x:v>2839</x:v>
      </x:c>
      <x:c r="I20" s="10" t="n">
        <x:v>31.5</x:v>
      </x:c>
      <x:c r="J20" s="10" t="n">
        <x:v>12</x:v>
      </x:c>
      <x:c r="K20" s="10" t="n">
        <x:v>2</x:v>
      </x:c>
      <x:c r="L20" s="34" t="n">
        <x:v>14</x:v>
      </x:c>
    </x:row>
    <x:row r="21">
      <x:c r="A21" s="39" t="n">
        <x:v>8</x:v>
      </x:c>
      <x:c r="B21" s="33" t="str">
        <x:v>Joe Allen</x:v>
      </x:c>
      <x:c r="C21" s="10" t="str">
        <x:v>wls WAL</x:v>
      </x:c>
      <x:c r="D21" s="10" t="str">
        <x:v>MF</x:v>
      </x:c>
      <x:c r="E21" s="10" t="n">
        <x:v>21</x:v>
      </x:c>
      <x:c r="F21" s="10" t="n">
        <x:v>36</x:v>
      </x:c>
      <x:c r="G21" s="10" t="n">
        <x:v>31</x:v>
      </x:c>
      <x:c r="H21" s="10" t="n">
        <x:v>2895</x:v>
      </x:c>
      <x:c r="I21" s="10" t="n">
        <x:v>32.2</x:v>
      </x:c>
      <x:c r="J21" s="10" t="n">
        <x:v>4</x:v>
      </x:c>
      <x:c r="K21" s="10" t="n">
        <x:v>2</x:v>
      </x:c>
      <x:c r="L21" s="34" t="n">
        <x:v>6</x:v>
      </x:c>
    </x:row>
    <x:row r="22">
      <x:c r="A22" s="39" t="n">
        <x:v>9</x:v>
      </x:c>
      <x:c r="B22" s="33" t="str">
        <x:v>Nathan Dyer</x:v>
      </x:c>
      <x:c r="C22" s="10" t="str">
        <x:v>eng ENG</x:v>
      </x:c>
      <x:c r="D22" s="10" t="str">
        <x:v>FW,MF</x:v>
      </x:c>
      <x:c r="E22" s="10" t="n">
        <x:v>23</x:v>
      </x:c>
      <x:c r="F22" s="10" t="n">
        <x:v>34</x:v>
      </x:c>
      <x:c r="G22" s="10" t="n">
        <x:v>29</x:v>
      </x:c>
      <x:c r="H22" s="10" t="n">
        <x:v>2359</x:v>
      </x:c>
      <x:c r="I22" s="10" t="n">
        <x:v>26.2</x:v>
      </x:c>
      <x:c r="J22" s="10" t="n">
        <x:v>5</x:v>
      </x:c>
      <x:c r="K22" s="10" t="n">
        <x:v>2</x:v>
      </x:c>
      <x:c r="L22" s="34" t="n">
        <x:v>7</x:v>
      </x:c>
    </x:row>
    <x:row r="23">
      <x:c r="A23" s="39" t="n">
        <x:v>10</x:v>
      </x:c>
      <x:c r="B23" s="33" t="str">
        <x:v>Steven Caulker</x:v>
      </x:c>
      <x:c r="C23" s="10" t="str">
        <x:v>sl SLE</x:v>
      </x:c>
      <x:c r="D23" s="10" t="str">
        <x:v>DF</x:v>
      </x:c>
      <x:c r="E23" s="10" t="n">
        <x:v>19</x:v>
      </x:c>
      <x:c r="F23" s="10" t="n">
        <x:v>26</x:v>
      </x:c>
      <x:c r="G23" s="10" t="n">
        <x:v>26</x:v>
      </x:c>
      <x:c r="H23" s="10" t="n">
        <x:v>2339</x:v>
      </x:c>
      <x:c r="I23" s="10" t="n">
        <x:v>26</x:v>
      </x:c>
      <x:c r="J23" s="10" t="n">
        <x:v>0</x:v>
      </x:c>
      <x:c r="K23" s="10" t="n">
        <x:v>1</x:v>
      </x:c>
      <x:c r="L23" s="34" t="n">
        <x:v>1</x:v>
      </x:c>
    </x:row>
    <x:row r="24">
      <x:c r="A24" s="39" t="n">
        <x:v>11</x:v>
      </x:c>
      <x:c r="B24" s="33" t="str">
        <x:v>Gylfi Sigurðsson</x:v>
      </x:c>
      <x:c r="C24" s="10" t="str">
        <x:v>is ISL</x:v>
      </x:c>
      <x:c r="D24" s="10" t="str">
        <x:v>FW,MF</x:v>
      </x:c>
      <x:c r="E24" s="10" t="n">
        <x:v>21</x:v>
      </x:c>
      <x:c r="F24" s="10" t="n">
        <x:v>18</x:v>
      </x:c>
      <x:c r="G24" s="10" t="n">
        <x:v>17</x:v>
      </x:c>
      <x:c r="H24" s="10" t="n">
        <x:v>1494</x:v>
      </x:c>
      <x:c r="I24" s="10" t="n">
        <x:v>16.6</x:v>
      </x:c>
      <x:c r="J24" s="10" t="n">
        <x:v>7</x:v>
      </x:c>
      <x:c r="K24" s="10" t="n">
        <x:v>3</x:v>
      </x:c>
      <x:c r="L24" s="34" t="n">
        <x:v>10</x:v>
      </x:c>
    </x:row>
    <x:row r="25">
      <x:c r="A25" s="39" t="n">
        <x:v>12</x:v>
      </x:c>
      <x:c r="B25" s="33" t="str">
        <x:v>Wayne Routledge</x:v>
      </x:c>
      <x:c r="C25" s="10" t="str">
        <x:v>eng ENG</x:v>
      </x:c>
      <x:c r="D25" s="10" t="str">
        <x:v>FW,MF</x:v>
      </x:c>
      <x:c r="E25" s="10" t="n">
        <x:v>26</x:v>
      </x:c>
      <x:c r="F25" s="10" t="n">
        <x:v>28</x:v>
      </x:c>
      <x:c r="G25" s="10" t="n">
        <x:v>17</x:v>
      </x:c>
      <x:c r="H25" s="10" t="n">
        <x:v>1459</x:v>
      </x:c>
      <x:c r="I25" s="10" t="n">
        <x:v>16.2</x:v>
      </x:c>
      <x:c r="J25" s="10" t="n">
        <x:v>1</x:v>
      </x:c>
      <x:c r="K25" s="10" t="n">
        <x:v>4</x:v>
      </x:c>
      <x:c r="L25" s="34" t="n">
        <x:v>5</x:v>
      </x:c>
    </x:row>
    <x:row r="26">
      <x:c r="A26" s="39" t="n">
        <x:v>13</x:v>
      </x:c>
      <x:c r="B26" s="33" t="str">
        <x:v>Garry Monk</x:v>
      </x:c>
      <x:c r="C26" s="10" t="str">
        <x:v>eng ENG</x:v>
      </x:c>
      <x:c r="D26" s="10" t="str">
        <x:v>DF</x:v>
      </x:c>
      <x:c r="E26" s="10" t="n">
        <x:v>32</x:v>
      </x:c>
      <x:c r="F26" s="10" t="n">
        <x:v>16</x:v>
      </x:c>
      <x:c r="G26" s="10" t="n">
        <x:v>14</x:v>
      </x:c>
      <x:c r="H26" s="10" t="n">
        <x:v>1266</x:v>
      </x:c>
      <x:c r="I26" s="10" t="n">
        <x:v>14.1</x:v>
      </x:c>
      <x:c r="J26" s="10" t="n">
        <x:v>0</x:v>
      </x:c>
      <x:c r="K26" s="10" t="n">
        <x:v>0</x:v>
      </x:c>
      <x:c r="L26" s="34" t="n">
        <x:v>0</x:v>
      </x:c>
    </x:row>
    <x:row r="27">
      <x:c r="A27" s="39" t="n">
        <x:v>14</x:v>
      </x:c>
      <x:c r="B27" s="33" t="str">
        <x:v>Mark Gower</x:v>
      </x:c>
      <x:c r="C27" s="10" t="str">
        <x:v>eng ENG</x:v>
      </x:c>
      <x:c r="D27" s="10" t="str">
        <x:v>MF</x:v>
      </x:c>
      <x:c r="E27" s="10" t="n">
        <x:v>32</x:v>
      </x:c>
      <x:c r="F27" s="10" t="n">
        <x:v>20</x:v>
      </x:c>
      <x:c r="G27" s="10" t="n">
        <x:v>14</x:v>
      </x:c>
      <x:c r="H27" s="10" t="n">
        <x:v>1128</x:v>
      </x:c>
      <x:c r="I27" s="10" t="n">
        <x:v>12.5</x:v>
      </x:c>
      <x:c r="J27" s="10" t="n">
        <x:v>0</x:v>
      </x:c>
      <x:c r="K27" s="10" t="n">
        <x:v>5</x:v>
      </x:c>
      <x:c r="L27" s="34" t="n">
        <x:v>5</x:v>
      </x:c>
    </x:row>
    <x:row r="28">
      <x:c r="A28" s="39" t="n">
        <x:v>15</x:v>
      </x:c>
      <x:c r="B28" s="33" t="str">
        <x:v>Kemy Agustien</x:v>
      </x:c>
      <x:c r="C28" s="10" t="str">
        <x:v>cw CUW</x:v>
      </x:c>
      <x:c r="D28" s="10" t="str">
        <x:v>DF,MF</x:v>
      </x:c>
      <x:c r="E28" s="10" t="n">
        <x:v>24</x:v>
      </x:c>
      <x:c r="F28" s="10" t="n">
        <x:v>13</x:v>
      </x:c>
      <x:c r="G28" s="10" t="n">
        <x:v>7</x:v>
      </x:c>
      <x:c r="H28" s="10" t="n">
        <x:v>713</x:v>
      </x:c>
      <x:c r="I28" s="10" t="n">
        <x:v>7.9</x:v>
      </x:c>
      <x:c r="J28" s="10" t="n">
        <x:v>0</x:v>
      </x:c>
      <x:c r="K28" s="10" t="n">
        <x:v>0</x:v>
      </x:c>
      <x:c r="L28" s="34" t="n">
        <x:v>0</x:v>
      </x:c>
    </x:row>
    <x:row r="29">
      <x:c r="A29" s="39" t="n">
        <x:v>16</x:v>
      </x:c>
      <x:c r="B29" s="33" t="str">
        <x:v>Jazz Richards</x:v>
      </x:c>
      <x:c r="C29" s="10" t="str">
        <x:v>wls WAL</x:v>
      </x:c>
      <x:c r="D29" s="10" t="str">
        <x:v>DF,MF</x:v>
      </x:c>
      <x:c r="E29" s="10" t="n">
        <x:v>20</x:v>
      </x:c>
      <x:c r="F29" s="10" t="n">
        <x:v>8</x:v>
      </x:c>
      <x:c r="G29" s="10" t="n">
        <x:v>6</x:v>
      </x:c>
      <x:c r="H29" s="10" t="n">
        <x:v>577</x:v>
      </x:c>
      <x:c r="I29" s="10" t="n">
        <x:v>6.4</x:v>
      </x:c>
      <x:c r="J29" s="10" t="n">
        <x:v>0</x:v>
      </x:c>
      <x:c r="K29" s="10" t="n">
        <x:v>0</x:v>
      </x:c>
      <x:c r="L29" s="34" t="n">
        <x:v>0</x:v>
      </x:c>
    </x:row>
    <x:row r="30">
      <x:c r="A30" s="39" t="n">
        <x:v>17</x:v>
      </x:c>
      <x:c r="B30" s="33" t="str">
        <x:v>Leroy Lita</x:v>
      </x:c>
      <x:c r="C30" s="10" t="str">
        <x:v>eng ENG</x:v>
      </x:c>
      <x:c r="D30" s="10" t="str">
        <x:v>FW</x:v>
      </x:c>
      <x:c r="E30" s="10" t="n">
        <x:v>26</x:v>
      </x:c>
      <x:c r="F30" s="10" t="n">
        <x:v>16</x:v>
      </x:c>
      <x:c r="G30" s="10" t="n">
        <x:v>4</x:v>
      </x:c>
      <x:c r="H30" s="10" t="n">
        <x:v>466</x:v>
      </x:c>
      <x:c r="I30" s="10" t="n">
        <x:v>5.2</x:v>
      </x:c>
      <x:c r="J30" s="10" t="n">
        <x:v>2</x:v>
      </x:c>
      <x:c r="K30" s="10" t="n">
        <x:v>1</x:v>
      </x:c>
      <x:c r="L30" s="34" t="n">
        <x:v>3</x:v>
      </x:c>
    </x:row>
    <x:row r="31">
      <x:c r="A31" s="39" t="n">
        <x:v>18</x:v>
      </x:c>
      <x:c r="B31" s="33" t="str">
        <x:v>Luke Moore</x:v>
      </x:c>
      <x:c r="C31" s="10" t="str">
        <x:v>eng ENG</x:v>
      </x:c>
      <x:c r="D31" s="10" t="str">
        <x:v>FW</x:v>
      </x:c>
      <x:c r="E31" s="10" t="n">
        <x:v>25</x:v>
      </x:c>
      <x:c r="F31" s="10" t="n">
        <x:v>20</x:v>
      </x:c>
      <x:c r="G31" s="10" t="n">
        <x:v>3</x:v>
      </x:c>
      <x:c r="H31" s="10" t="n">
        <x:v>532</x:v>
      </x:c>
      <x:c r="I31" s="10" t="n">
        <x:v>5.9</x:v>
      </x:c>
      <x:c r="J31" s="10" t="n">
        <x:v>2</x:v>
      </x:c>
      <x:c r="K31" s="10" t="n">
        <x:v>0</x:v>
      </x:c>
      <x:c r="L31" s="34" t="n">
        <x:v>2</x:v>
      </x:c>
    </x:row>
    <x:row r="32">
      <x:c r="A32" s="39" t="n">
        <x:v>19</x:v>
      </x:c>
      <x:c r="B32" s="33" t="str">
        <x:v>Stephen Dobbie</x:v>
      </x:c>
      <x:c r="C32" s="10" t="str">
        <x:v>sct SCO</x:v>
      </x:c>
      <x:c r="D32" s="10" t="str">
        <x:v>FW</x:v>
      </x:c>
      <x:c r="E32" s="10" t="n">
        <x:v>28</x:v>
      </x:c>
      <x:c r="F32" s="10" t="n">
        <x:v>8</x:v>
      </x:c>
      <x:c r="G32" s="10" t="n">
        <x:v>2</x:v>
      </x:c>
      <x:c r="H32" s="10" t="n">
        <x:v>262</x:v>
      </x:c>
      <x:c r="I32" s="10" t="n">
        <x:v>2.9</x:v>
      </x:c>
      <x:c r="J32" s="10" t="n">
        <x:v>0</x:v>
      </x:c>
      <x:c r="K32" s="10" t="n">
        <x:v>0</x:v>
      </x:c>
      <x:c r="L32" s="34" t="n">
        <x:v>0</x:v>
      </x:c>
    </x:row>
    <x:row r="33">
      <x:c r="A33" s="39" t="n">
        <x:v>20</x:v>
      </x:c>
      <x:c r="B33" s="33" t="str">
        <x:v>Andrea Orlandi</x:v>
      </x:c>
      <x:c r="C33" s="10" t="str">
        <x:v>es ESP</x:v>
      </x:c>
      <x:c r="D33" s="10" t="str">
        <x:v>FW,MF</x:v>
      </x:c>
      <x:c r="E33" s="10" t="n">
        <x:v>26</x:v>
      </x:c>
      <x:c r="F33" s="10" t="n">
        <x:v>3</x:v>
      </x:c>
      <x:c r="G33" s="10" t="n">
        <x:v>2</x:v>
      </x:c>
      <x:c r="H33" s="10" t="n">
        <x:v>119</x:v>
      </x:c>
      <x:c r="I33" s="10" t="n">
        <x:v>1.3</x:v>
      </x:c>
      <x:c r="J33" s="10" t="n">
        <x:v>1</x:v>
      </x:c>
      <x:c r="K33" s="10" t="n">
        <x:v>0</x:v>
      </x:c>
      <x:c r="L33" s="34" t="n">
        <x:v>1</x:v>
      </x:c>
    </x:row>
    <x:row r="34">
      <x:c r="A34" s="39" t="n">
        <x:v>21</x:v>
      </x:c>
      <x:c r="B34" s="33" t="str">
        <x:v>Alan Tate</x:v>
      </x:c>
      <x:c r="C34" s="10" t="str">
        <x:v>eng ENG</x:v>
      </x:c>
      <x:c r="D34" s="10" t="str">
        <x:v>DF</x:v>
      </x:c>
      <x:c r="E34" s="10" t="n">
        <x:v>28</x:v>
      </x:c>
      <x:c r="F34" s="10" t="n">
        <x:v>5</x:v>
      </x:c>
      <x:c r="G34" s="10" t="n">
        <x:v>1</x:v>
      </x:c>
      <x:c r="H34" s="10" t="n">
        <x:v>165</x:v>
      </x:c>
      <x:c r="I34" s="10" t="n">
        <x:v>1.8</x:v>
      </x:c>
      <x:c r="J34" s="10" t="n">
        <x:v>0</x:v>
      </x:c>
      <x:c r="K34" s="10" t="n">
        <x:v>0</x:v>
      </x:c>
      <x:c r="L34" s="34" t="n">
        <x:v>0</x:v>
      </x:c>
    </x:row>
    <x:row r="35">
      <x:c r="A35" s="39" t="n">
        <x:v>22</x:v>
      </x:c>
      <x:c r="B35" s="33" t="str">
        <x:v>Josh McEachran</x:v>
      </x:c>
      <x:c r="C35" s="10" t="str">
        <x:v>eng ENG</x:v>
      </x:c>
      <x:c r="D35" s="10" t="str">
        <x:v>MF</x:v>
      </x:c>
      <x:c r="E35" s="10" t="n">
        <x:v>18</x:v>
      </x:c>
      <x:c r="F35" s="10" t="n">
        <x:v>4</x:v>
      </x:c>
      <x:c r="G35" s="10" t="n">
        <x:v>1</x:v>
      </x:c>
      <x:c r="H35" s="10" t="n">
        <x:v>127</x:v>
      </x:c>
      <x:c r="I35" s="10" t="n">
        <x:v>1.4</x:v>
      </x:c>
      <x:c r="J35" s="10" t="n">
        <x:v>0</x:v>
      </x:c>
      <x:c r="K35" s="10" t="n">
        <x:v>0</x:v>
      </x:c>
      <x:c r="L35" s="34" t="n">
        <x:v>0</x:v>
      </x:c>
    </x:row>
    <x:row r="36">
      <x:c r="A36" s="39" t="n">
        <x:v>23</x:v>
      </x:c>
      <x:c r="B36" s="33" t="str">
        <x:v>Gerhard Tremmel</x:v>
      </x:c>
      <x:c r="C36" s="10" t="str">
        <x:v>de GER</x:v>
      </x:c>
      <x:c r="D36" s="10" t="str">
        <x:v>GK</x:v>
      </x:c>
      <x:c r="E36" s="10" t="n">
        <x:v>32</x:v>
      </x:c>
      <x:c r="F36" s="10" t="n">
        <x:v>1</x:v>
      </x:c>
      <x:c r="G36" s="10" t="n">
        <x:v>1</x:v>
      </x:c>
      <x:c r="H36" s="10" t="n">
        <x:v>90</x:v>
      </x:c>
      <x:c r="I36" s="10" t="n">
        <x:v>1</x:v>
      </x:c>
      <x:c r="J36" s="10" t="n">
        <x:v>0</x:v>
      </x:c>
      <x:c r="K36" s="10" t="n">
        <x:v>0</x:v>
      </x:c>
      <x:c r="L36" s="34" t="n">
        <x:v>0</x:v>
      </x:c>
    </x:row>
    <x:row r="37">
      <x:c r="A37" s="39" t="n">
        <x:v>24</x:v>
      </x:c>
      <x:c r="B37" s="33" t="str">
        <x:v>Federico Bessone</x:v>
      </x:c>
      <x:c r="C37" s="10" t="str">
        <x:v>ar ARG</x:v>
      </x:c>
      <x:c r="D37" s="10" t="str">
        <x:v>DF</x:v>
      </x:c>
      <x:c r="E37" s="10" t="n">
        <x:v>27</x:v>
      </x:c>
      <x:c r="F37" s="10" t="n">
        <x:v>1</x:v>
      </x:c>
      <x:c r="G37" s="10" t="n">
        <x:v>0</x:v>
      </x:c>
      <x:c r="H37" s="10" t="n">
        <x:v>6</x:v>
      </x:c>
      <x:c r="I37" s="10" t="n">
        <x:v>0.1</x:v>
      </x:c>
      <x:c r="J37" s="10" t="n">
        <x:v>0</x:v>
      </x:c>
      <x:c r="K37" s="10" t="n">
        <x:v>0</x:v>
      </x:c>
      <x:c r="L37" s="34" t="n">
        <x:v>0</x:v>
      </x:c>
    </x:row>
    <x:row r="38">
      <x:c r="A38" s="39" t="n">
        <x:v>25</x:v>
      </x:c>
      <x:c r="B38" s="33" t="str">
        <x:v>Vangelis Moras</x:v>
      </x:c>
      <x:c r="C38" s="10" t="str">
        <x:v>gr GRE</x:v>
      </x:c>
      <x:c r="D38" s="10" t="str">
        <x:v>DF</x:v>
      </x:c>
      <x:c r="E38" s="10" t="n">
        <x:v>29</x:v>
      </x:c>
      <x:c r="F38" s="10" t="n">
        <x:v>1</x:v>
      </x:c>
      <x:c r="G38" s="10" t="n">
        <x:v>0</x:v>
      </x:c>
      <x:c r="H38" s="10" t="n">
        <x:v>5</x:v>
      </x:c>
      <x:c r="I38" s="10" t="n">
        <x:v>0.1</x:v>
      </x:c>
      <x:c r="J38" s="10" t="n">
        <x:v>0</x:v>
      </x:c>
      <x:c r="K38" s="10" t="n">
        <x:v>0</x:v>
      </x:c>
      <x:c r="L38" s="34" t="n">
        <x:v>0</x:v>
      </x:c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